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keseharian\Templates\Development\"/>
    </mc:Choice>
  </mc:AlternateContent>
  <xr:revisionPtr revIDLastSave="0" documentId="13_ncr:1_{A7820DDD-5FAD-498D-A2FB-9575C593A057}" xr6:coauthVersionLast="47" xr6:coauthVersionMax="47" xr10:uidLastSave="{00000000-0000-0000-0000-000000000000}"/>
  <bookViews>
    <workbookView xWindow="-108" yWindow="-108" windowWidth="23256" windowHeight="12456" tabRatio="686" activeTab="3" xr2:uid="{00000000-000D-0000-FFFF-FFFF00000000}"/>
  </bookViews>
  <sheets>
    <sheet name="Dashboard" sheetId="1" r:id="rId1"/>
    <sheet name="Detail Transaksi" sheetId="7" r:id="rId2"/>
    <sheet name="Pengeluaran" sheetId="8" r:id="rId3"/>
    <sheet name="Pendapatan" sheetId="9" r:id="rId4"/>
    <sheet name="Pendukung" sheetId="10" r:id="rId5"/>
  </sheets>
  <definedNames>
    <definedName name="Alfamart">Pendukung!$C$21:$C$24</definedName>
    <definedName name="Bank">Pendukung!$K$21</definedName>
    <definedName name="Beli">Pendukung!$J$21:$J$22</definedName>
    <definedName name="Bluebird">Pendukung!$I$21</definedName>
    <definedName name="Buka_Puasa">Pendukung!$G$7:$G$9</definedName>
    <definedName name="Event_Lomba">Pendukung!$L$21:$L$24</definedName>
    <definedName name="Gojek">Pendukung!$H$21</definedName>
    <definedName name="Indomaret">Pendukung!$D$21:$D$24</definedName>
    <definedName name="Jajan">Pendukung!$C$35:$C$40</definedName>
    <definedName name="Makan_Malam">Pendukung!$E$7:$E$13</definedName>
    <definedName name="Makan_Siang">Pendukung!$D$7:$D$13</definedName>
    <definedName name="N_A">Pendukung!$F$49</definedName>
    <definedName name="Pembayaran">Pendukung!$G$49:$G$51</definedName>
    <definedName name="Pemeliharaan">Pendukung!$F$21:$F$22</definedName>
    <definedName name="Sahur">Pendukung!$F$7:$F$8</definedName>
    <definedName name="Sarapan">Pendukung!$C$7:$C$11</definedName>
    <definedName name="Sisa">Pendukung!$D$49</definedName>
    <definedName name="Superindo">Pendukung!$E$21</definedName>
    <definedName name="Telkomsel">Pendukung!$G$21</definedName>
    <definedName name="Tokopedia">Pendukung!$M$21:$M$22</definedName>
    <definedName name="Transisi">Pendukung!$E$49:$E$50</definedName>
    <definedName name="Transisi_NA">Pendukung!$G$57</definedName>
    <definedName name="Uang_Bulanan">Pendukung!$C$49:$C$51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9" l="1"/>
  <c r="R9" i="7"/>
  <c r="P34" i="7" a="1"/>
  <c r="P34" i="7" s="1"/>
  <c r="P22" i="7" a="1"/>
  <c r="P22" i="7" s="1"/>
  <c r="B34" i="7" a="1"/>
  <c r="B34" i="7" s="1"/>
  <c r="B22" i="7" a="1"/>
  <c r="B22" i="7" s="1"/>
  <c r="K51" i="7" a="1"/>
  <c r="K51" i="7" s="1"/>
  <c r="P32" i="7" a="1"/>
  <c r="P32" i="7" s="1"/>
  <c r="P20" i="7" a="1"/>
  <c r="P20" i="7" s="1"/>
  <c r="B20" i="7" a="1"/>
  <c r="B20" i="7" s="1"/>
  <c r="B32" i="7" a="1"/>
  <c r="B32" i="7" s="1"/>
  <c r="K47" i="7" a="1"/>
  <c r="K47" i="7" s="1"/>
  <c r="P33" i="7"/>
  <c r="P21" i="7"/>
  <c r="B21" i="7"/>
  <c r="B33" i="7"/>
  <c r="K8" i="7"/>
  <c r="I31" i="7" s="1"/>
  <c r="W23" i="7" l="1"/>
  <c r="W28" i="7"/>
  <c r="D15" i="7"/>
  <c r="R15" i="7"/>
  <c r="D9" i="7"/>
  <c r="K16" i="7"/>
  <c r="K14" i="7"/>
  <c r="K12" i="7"/>
  <c r="K10" i="7"/>
  <c r="I19" i="7"/>
  <c r="R12" i="7"/>
  <c r="W13" i="7"/>
  <c r="H9" i="8"/>
  <c r="W18" i="7" l="1"/>
  <c r="W33" i="7"/>
  <c r="I22" i="7"/>
  <c r="I34" i="7"/>
  <c r="I21" i="7"/>
  <c r="I33" i="7"/>
  <c r="I23" i="7"/>
  <c r="I35" i="7"/>
  <c r="I20" i="7"/>
  <c r="I32" i="7"/>
  <c r="I24" i="7"/>
  <c r="P35" i="7"/>
  <c r="P23" i="7"/>
  <c r="D12" i="7"/>
  <c r="R47" i="7"/>
  <c r="R49" i="7"/>
  <c r="R51" i="7"/>
  <c r="P9" i="8"/>
  <c r="K49" i="7" s="1"/>
  <c r="B23" i="7" l="1"/>
  <c r="B3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<sst xmlns="http://schemas.openxmlformats.org/spreadsheetml/2006/main" count="813" uniqueCount="206">
  <si>
    <t>No</t>
  </si>
  <si>
    <t>Kategori</t>
  </si>
  <si>
    <t>Detail</t>
  </si>
  <si>
    <t>Tanggal</t>
  </si>
  <si>
    <t>Harga</t>
  </si>
  <si>
    <t>Total</t>
  </si>
  <si>
    <t>Sarapan</t>
  </si>
  <si>
    <t>Makan Siang</t>
  </si>
  <si>
    <t>Makan Malam</t>
  </si>
  <si>
    <t>N/A</t>
  </si>
  <si>
    <t>Alfamart</t>
  </si>
  <si>
    <t>Indomaret</t>
  </si>
  <si>
    <t>Superindo</t>
  </si>
  <si>
    <t>Laundry</t>
  </si>
  <si>
    <t>Telkomsel</t>
  </si>
  <si>
    <t>Gojek</t>
  </si>
  <si>
    <t>Bluebird</t>
  </si>
  <si>
    <t>Tokopedia</t>
  </si>
  <si>
    <t>Warteg</t>
  </si>
  <si>
    <t>Balsan</t>
  </si>
  <si>
    <t>Kebutuhan Dapur</t>
  </si>
  <si>
    <t>Bayar</t>
  </si>
  <si>
    <t>Kebutuhan Kos</t>
  </si>
  <si>
    <t>Nasi Kuning</t>
  </si>
  <si>
    <t>Nasi Goreng</t>
  </si>
  <si>
    <t>Burger Bangor</t>
  </si>
  <si>
    <t>Kebutuhan Mandi</t>
  </si>
  <si>
    <t>Gofood</t>
  </si>
  <si>
    <t>FKG</t>
  </si>
  <si>
    <t>Bikin Sendiri</t>
  </si>
  <si>
    <t>Belanja Mingguan</t>
  </si>
  <si>
    <t>Detail Transaksi</t>
  </si>
  <si>
    <t>Pengeluaran</t>
  </si>
  <si>
    <t>Makanan Pokok</t>
  </si>
  <si>
    <t>Pembayaran</t>
  </si>
  <si>
    <t>Kebutuhan Lain</t>
  </si>
  <si>
    <t>Uang Digital</t>
  </si>
  <si>
    <t>Uang tunai</t>
  </si>
  <si>
    <t>Panel Kontrol</t>
  </si>
  <si>
    <t>Tanggal Awal</t>
  </si>
  <si>
    <t>Tanggal Akhir</t>
  </si>
  <si>
    <t>Pengeluaran per Minggu</t>
  </si>
  <si>
    <t>Minggu 1</t>
  </si>
  <si>
    <t>Digital</t>
  </si>
  <si>
    <t>Minggu 2</t>
  </si>
  <si>
    <t>Tunai</t>
  </si>
  <si>
    <t>Minggu 3</t>
  </si>
  <si>
    <t>Minggu 4</t>
  </si>
  <si>
    <t>Sisa Hari</t>
  </si>
  <si>
    <t>Minggu 5</t>
  </si>
  <si>
    <t>Progress Bar Budget</t>
  </si>
  <si>
    <t>Alokasi Budget</t>
  </si>
  <si>
    <t>Kebutuhan</t>
  </si>
  <si>
    <t>Uang Bulanan</t>
  </si>
  <si>
    <t>Ortu</t>
  </si>
  <si>
    <t>Beasiswa</t>
  </si>
  <si>
    <t>Gaji</t>
  </si>
  <si>
    <t>Selamat Datang di Template Keuangan Excel</t>
  </si>
  <si>
    <t>Template ini bertujuan untuk melacak pengeluaran dan pemasukan yang dilakukan</t>
  </si>
  <si>
    <t>Selamat Menggunakan</t>
  </si>
  <si>
    <t>Pendukung</t>
  </si>
  <si>
    <t>Pendapatan</t>
  </si>
  <si>
    <t>Sheet 'Detail Transaksi' berisi semua transaksi secara detail, mulai dari uang digital dan uang tunai, pengeluaran per minggu, beberapa grafik, dll</t>
  </si>
  <si>
    <t>Sheet 'Pengeluaran' menangani semua pengeluaran yang dilakukan. Pengeluaran diagi menjadi dua kelompok, Makanan Pokok dan Kebutuhan Lain dan juga pembayaran dipisah antara uang digital dan uang tunai</t>
  </si>
  <si>
    <t>Sheet 'Pendapatan menangani semua pendapatan yang diterima. Pendapatan tidak memiliki kelompok dan dibagi antara pendapatan tunai dan digital</t>
  </si>
  <si>
    <t>Sheet 'Pendukung' memberikan dukungan berupa relasi antara Kolom Kategori dan Detail yang terdapat pada sheet Pengeluaran dan Pendapatan serta menyimpan ukuran baris dan kolom masing-masing sheet</t>
  </si>
  <si>
    <t>Beli</t>
  </si>
  <si>
    <t>Galon</t>
  </si>
  <si>
    <t>Bensin</t>
  </si>
  <si>
    <t>Pemeliharaan</t>
  </si>
  <si>
    <t>Cuci Motor</t>
  </si>
  <si>
    <t>Sahur</t>
  </si>
  <si>
    <t>Buka Puasa</t>
  </si>
  <si>
    <t>Sisa</t>
  </si>
  <si>
    <t>Transisi</t>
  </si>
  <si>
    <t>Bulan Lalu</t>
  </si>
  <si>
    <t>Tarik Tunai</t>
  </si>
  <si>
    <t>Bank</t>
  </si>
  <si>
    <t>Jalan Kaki</t>
  </si>
  <si>
    <t>Lari</t>
  </si>
  <si>
    <t>Sepeda</t>
  </si>
  <si>
    <t>CTF</t>
  </si>
  <si>
    <t>Admin</t>
  </si>
  <si>
    <t>Dashboard Keuangan 3.0</t>
  </si>
  <si>
    <t>Makanan</t>
  </si>
  <si>
    <t>Jajan dan Keinginan Lainnya</t>
  </si>
  <si>
    <t>Warna Kategori</t>
  </si>
  <si>
    <t>Warna Detail</t>
  </si>
  <si>
    <t>Event dan Lomba</t>
  </si>
  <si>
    <t>Nasi Uduk</t>
  </si>
  <si>
    <t>Kwetiauw Goreng</t>
  </si>
  <si>
    <t>Topup Pulsa</t>
  </si>
  <si>
    <t>Topup Saldo</t>
  </si>
  <si>
    <t>Kebutuhan Diri</t>
  </si>
  <si>
    <t>Minuman Manis</t>
  </si>
  <si>
    <t>Es Krim</t>
  </si>
  <si>
    <t>Saldo Awal</t>
  </si>
  <si>
    <t>Saldo Akhir</t>
  </si>
  <si>
    <t>Tanggal Akhir Bulan</t>
  </si>
  <si>
    <t>Sisa Bulan Lalu</t>
  </si>
  <si>
    <t>Sate</t>
  </si>
  <si>
    <t>makanan digital</t>
  </si>
  <si>
    <t>kebutuhan digital</t>
  </si>
  <si>
    <t>sisa uang digital</t>
  </si>
  <si>
    <t>minggu 1</t>
  </si>
  <si>
    <t>minggu 2</t>
  </si>
  <si>
    <t>minggu 3</t>
  </si>
  <si>
    <t>minggu 4</t>
  </si>
  <si>
    <t>minggu 5</t>
  </si>
  <si>
    <t>sisa uang digital + tunai</t>
  </si>
  <si>
    <t>makanan tunai</t>
  </si>
  <si>
    <t>kebutuhan tunai</t>
  </si>
  <si>
    <t>sisa uang tunai</t>
  </si>
  <si>
    <t>persentase digital</t>
  </si>
  <si>
    <t>nominal digital</t>
  </si>
  <si>
    <t>persentase tunai</t>
  </si>
  <si>
    <t>nominal tunai</t>
  </si>
  <si>
    <t>persentase per minggu</t>
  </si>
  <si>
    <t>Nama Warna</t>
  </si>
  <si>
    <t>Oranye</t>
  </si>
  <si>
    <t>Merah Jingga</t>
  </si>
  <si>
    <t>Cokelat</t>
  </si>
  <si>
    <t>Emas</t>
  </si>
  <si>
    <t>Merah Marun</t>
  </si>
  <si>
    <t>#D35400</t>
  </si>
  <si>
    <t>#F5B041</t>
  </si>
  <si>
    <t>#BA4A00</t>
  </si>
  <si>
    <t>#EDBB99</t>
  </si>
  <si>
    <t>#873600</t>
  </si>
  <si>
    <t>#D68910</t>
  </si>
  <si>
    <t>#B7950B</t>
  </si>
  <si>
    <t>#F7DC6F</t>
  </si>
  <si>
    <t>#943126</t>
  </si>
  <si>
    <t>#E6B0AA</t>
  </si>
  <si>
    <t>Merah</t>
  </si>
  <si>
    <t>Biru</t>
  </si>
  <si>
    <t>Hijau</t>
  </si>
  <si>
    <t>#C0392B</t>
  </si>
  <si>
    <t>#F5B7B1</t>
  </si>
  <si>
    <t>#2471A3</t>
  </si>
  <si>
    <t>#AED6F1</t>
  </si>
  <si>
    <t>#229954</t>
  </si>
  <si>
    <t>#A9DFBF</t>
  </si>
  <si>
    <t>Ungu</t>
  </si>
  <si>
    <t>Hijau Tokped</t>
  </si>
  <si>
    <t>#7D3C98</t>
  </si>
  <si>
    <t>#D7BDE2</t>
  </si>
  <si>
    <t>#03AC0E</t>
  </si>
  <si>
    <t>#ABEBC6</t>
  </si>
  <si>
    <t>Hijau Gojek</t>
  </si>
  <si>
    <t>Biru Bluebird</t>
  </si>
  <si>
    <t>#00880C</t>
  </si>
  <si>
    <t>#2980B9</t>
  </si>
  <si>
    <t>#A9CCE3</t>
  </si>
  <si>
    <t>Merah Telkom</t>
  </si>
  <si>
    <t>#566573</t>
  </si>
  <si>
    <t>#CACFD2</t>
  </si>
  <si>
    <t>#E74C3C</t>
  </si>
  <si>
    <t>#F1948A</t>
  </si>
  <si>
    <t>Abu-abu Tua</t>
  </si>
  <si>
    <t>Abu-abu Arang</t>
  </si>
  <si>
    <t>#2C3E50</t>
  </si>
  <si>
    <t>#AEB6BF</t>
  </si>
  <si>
    <t>Hijau Zamrud</t>
  </si>
  <si>
    <t>Hijau Hutan</t>
  </si>
  <si>
    <t>Teal</t>
  </si>
  <si>
    <t>#1E8449</t>
  </si>
  <si>
    <t>#A2D9CE</t>
  </si>
  <si>
    <t>#196F3D</t>
  </si>
  <si>
    <t>#D5F5E3</t>
  </si>
  <si>
    <t>#0E6655</t>
  </si>
  <si>
    <t>#85C1E9</t>
  </si>
  <si>
    <t>Biru Dongker</t>
  </si>
  <si>
    <t>#1A5276</t>
  </si>
  <si>
    <t>Cokelat Abu</t>
  </si>
  <si>
    <t>#797D7F</t>
  </si>
  <si>
    <t>#F4F6F7</t>
  </si>
  <si>
    <t>Magenta</t>
  </si>
  <si>
    <t>#9B59B6</t>
  </si>
  <si>
    <t>#EBDEF0</t>
  </si>
  <si>
    <t>Fried Chicken</t>
  </si>
  <si>
    <t>Keripik</t>
  </si>
  <si>
    <t>Biskuit</t>
  </si>
  <si>
    <t>Deposit</t>
  </si>
  <si>
    <t>Nama Sheet</t>
  </si>
  <si>
    <t>Nama Kolom</t>
  </si>
  <si>
    <t>Ukuran Tinggi</t>
  </si>
  <si>
    <t>Ukuran Lebar</t>
  </si>
  <si>
    <t>Dashboard</t>
  </si>
  <si>
    <t>Batas</t>
  </si>
  <si>
    <t>Selain Batas</t>
  </si>
  <si>
    <t>Pengeluaran Uang Digital Hari Ini</t>
  </si>
  <si>
    <t>Pengeluaran Uang Tunai Hari Ini</t>
  </si>
  <si>
    <t>Jajan</t>
  </si>
  <si>
    <t>jajan digital</t>
  </si>
  <si>
    <t>jajan tunai</t>
  </si>
  <si>
    <t>Makan_Siang</t>
  </si>
  <si>
    <t>Makan_Malam</t>
  </si>
  <si>
    <t>Buka_Puasa</t>
  </si>
  <si>
    <t>Event_Lomba</t>
  </si>
  <si>
    <t>Jumlah</t>
  </si>
  <si>
    <t>Uang_Bulanan</t>
  </si>
  <si>
    <t>N_A</t>
  </si>
  <si>
    <t>Roti</t>
  </si>
  <si>
    <t>Rekomendasi Pengeluaran per Hari</t>
  </si>
  <si>
    <t>Pengeluaran Total Hari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</si>
</sst>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[$Rp-3809]* #,##0.00_-;\-[$Rp-3809]* #,##0.00_-;_-[$Rp-3809]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8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2" borderId="0" xfId="0" applyFill="1"/>
    <xf numFmtId="0" fontId="0" fillId="12" borderId="0" xfId="0" quotePrefix="1" applyFill="1"/>
    <xf numFmtId="0" fontId="0" fillId="12" borderId="0" xfId="0" applyFill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0" fillId="0" borderId="10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4" borderId="5" xfId="2" applyFont="1" applyFill="1" applyBorder="1" applyAlignment="1">
      <alignment horizontal="center" vertical="center"/>
    </xf>
    <xf numFmtId="0" fontId="7" fillId="4" borderId="2" xfId="2" applyFont="1" applyFill="1" applyBorder="1" applyAlignment="1">
      <alignment horizontal="center" vertical="center"/>
    </xf>
    <xf numFmtId="0" fontId="7" fillId="4" borderId="6" xfId="2" applyFont="1" applyFill="1" applyBorder="1" applyAlignment="1">
      <alignment horizontal="center" vertical="center"/>
    </xf>
    <xf numFmtId="0" fontId="7" fillId="4" borderId="8" xfId="2" applyFont="1" applyFill="1" applyBorder="1" applyAlignment="1">
      <alignment horizontal="center" vertical="center"/>
    </xf>
    <xf numFmtId="0" fontId="7" fillId="4" borderId="0" xfId="2" applyFont="1" applyFill="1" applyBorder="1" applyAlignment="1">
      <alignment horizontal="center" vertical="center"/>
    </xf>
    <xf numFmtId="0" fontId="7" fillId="4" borderId="9" xfId="2" applyFont="1" applyFill="1" applyBorder="1" applyAlignment="1">
      <alignment horizontal="center" vertical="center"/>
    </xf>
    <xf numFmtId="0" fontId="7" fillId="4" borderId="3" xfId="2" applyFont="1" applyFill="1" applyBorder="1" applyAlignment="1">
      <alignment horizontal="center" vertical="center"/>
    </xf>
    <xf numFmtId="0" fontId="7" fillId="4" borderId="4" xfId="2" applyFont="1" applyFill="1" applyBorder="1" applyAlignment="1">
      <alignment horizontal="center" vertical="center"/>
    </xf>
    <xf numFmtId="0" fontId="7" fillId="4" borderId="7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2" xfId="2" applyFont="1" applyFill="1" applyBorder="1" applyAlignment="1">
      <alignment horizontal="center" vertical="center"/>
    </xf>
    <xf numFmtId="0" fontId="7" fillId="5" borderId="6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0" fontId="7" fillId="5" borderId="0" xfId="2" applyFont="1" applyFill="1" applyBorder="1" applyAlignment="1">
      <alignment horizontal="center" vertical="center"/>
    </xf>
    <xf numFmtId="0" fontId="7" fillId="5" borderId="9" xfId="2" applyFont="1" applyFill="1" applyBorder="1" applyAlignment="1">
      <alignment horizontal="center" vertical="center"/>
    </xf>
    <xf numFmtId="0" fontId="7" fillId="5" borderId="3" xfId="2" applyFont="1" applyFill="1" applyBorder="1" applyAlignment="1">
      <alignment horizontal="center" vertical="center"/>
    </xf>
    <xf numFmtId="0" fontId="7" fillId="5" borderId="4" xfId="2" applyFont="1" applyFill="1" applyBorder="1" applyAlignment="1">
      <alignment horizontal="center" vertical="center"/>
    </xf>
    <xf numFmtId="0" fontId="7" fillId="5" borderId="7" xfId="2" applyFont="1" applyFill="1" applyBorder="1" applyAlignment="1">
      <alignment horizontal="center" vertical="center"/>
    </xf>
    <xf numFmtId="0" fontId="7" fillId="6" borderId="5" xfId="2" applyFont="1" applyFill="1" applyBorder="1" applyAlignment="1">
      <alignment horizontal="center" vertical="center"/>
    </xf>
    <xf numFmtId="0" fontId="7" fillId="6" borderId="2" xfId="2" applyFont="1" applyFill="1" applyBorder="1" applyAlignment="1">
      <alignment horizontal="center" vertical="center"/>
    </xf>
    <xf numFmtId="0" fontId="7" fillId="6" borderId="6" xfId="2" applyFont="1" applyFill="1" applyBorder="1" applyAlignment="1">
      <alignment horizontal="center" vertical="center"/>
    </xf>
    <xf numFmtId="0" fontId="7" fillId="6" borderId="8" xfId="2" applyFont="1" applyFill="1" applyBorder="1" applyAlignment="1">
      <alignment horizontal="center" vertical="center"/>
    </xf>
    <xf numFmtId="0" fontId="7" fillId="6" borderId="0" xfId="2" applyFont="1" applyFill="1" applyBorder="1" applyAlignment="1">
      <alignment horizontal="center" vertical="center"/>
    </xf>
    <xf numFmtId="0" fontId="7" fillId="6" borderId="9" xfId="2" applyFont="1" applyFill="1" applyBorder="1" applyAlignment="1">
      <alignment horizontal="center" vertical="center"/>
    </xf>
    <xf numFmtId="0" fontId="7" fillId="6" borderId="3" xfId="2" applyFont="1" applyFill="1" applyBorder="1" applyAlignment="1">
      <alignment horizontal="center" vertical="center"/>
    </xf>
    <xf numFmtId="0" fontId="7" fillId="6" borderId="4" xfId="2" applyFont="1" applyFill="1" applyBorder="1" applyAlignment="1">
      <alignment horizontal="center" vertical="center"/>
    </xf>
    <xf numFmtId="0" fontId="7" fillId="6" borderId="7" xfId="2" applyFont="1" applyFill="1" applyBorder="1" applyAlignment="1">
      <alignment horizontal="center" vertical="center"/>
    </xf>
    <xf numFmtId="0" fontId="7" fillId="7" borderId="5" xfId="2" applyFont="1" applyFill="1" applyBorder="1" applyAlignment="1">
      <alignment horizontal="center" vertical="center"/>
    </xf>
    <xf numFmtId="0" fontId="7" fillId="7" borderId="2" xfId="2" applyFont="1" applyFill="1" applyBorder="1" applyAlignment="1">
      <alignment horizontal="center" vertical="center"/>
    </xf>
    <xf numFmtId="0" fontId="7" fillId="7" borderId="6" xfId="2" applyFont="1" applyFill="1" applyBorder="1" applyAlignment="1">
      <alignment horizontal="center" vertical="center"/>
    </xf>
    <xf numFmtId="0" fontId="7" fillId="7" borderId="8" xfId="2" applyFont="1" applyFill="1" applyBorder="1" applyAlignment="1">
      <alignment horizontal="center" vertical="center"/>
    </xf>
    <xf numFmtId="0" fontId="7" fillId="7" borderId="0" xfId="2" applyFont="1" applyFill="1" applyBorder="1" applyAlignment="1">
      <alignment horizontal="center" vertical="center"/>
    </xf>
    <xf numFmtId="0" fontId="7" fillId="7" borderId="9" xfId="2" applyFont="1" applyFill="1" applyBorder="1" applyAlignment="1">
      <alignment horizontal="center" vertical="center"/>
    </xf>
    <xf numFmtId="0" fontId="7" fillId="7" borderId="3" xfId="2" applyFont="1" applyFill="1" applyBorder="1" applyAlignment="1">
      <alignment horizontal="center" vertical="center"/>
    </xf>
    <xf numFmtId="0" fontId="7" fillId="7" borderId="4" xfId="2" applyFont="1" applyFill="1" applyBorder="1" applyAlignment="1">
      <alignment horizontal="center" vertical="center"/>
    </xf>
    <xf numFmtId="0" fontId="7" fillId="7" borderId="7" xfId="2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0" fillId="12" borderId="0" xfId="0" applyFill="1" applyAlignment="1">
      <alignment horizontal="center"/>
    </xf>
    <xf numFmtId="164" fontId="0" fillId="12" borderId="0" xfId="1" applyNumberFormat="1" applyFont="1" applyFill="1" applyAlignment="1">
      <alignment horizontal="center"/>
    </xf>
    <xf numFmtId="164" fontId="0" fillId="12" borderId="0" xfId="0" applyNumberFormat="1" applyFill="1" applyAlignment="1">
      <alignment horizontal="center"/>
    </xf>
    <xf numFmtId="164" fontId="8" fillId="1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0" fontId="4" fillId="12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9" fontId="7" fillId="3" borderId="5" xfId="0" applyNumberFormat="1" applyFont="1" applyFill="1" applyBorder="1" applyAlignment="1">
      <alignment horizontal="center" vertical="center"/>
    </xf>
    <xf numFmtId="9" fontId="7" fillId="3" borderId="6" xfId="0" applyNumberFormat="1" applyFont="1" applyFill="1" applyBorder="1" applyAlignment="1">
      <alignment horizontal="center" vertical="center"/>
    </xf>
    <xf numFmtId="9" fontId="7" fillId="3" borderId="3" xfId="0" applyNumberFormat="1" applyFont="1" applyFill="1" applyBorder="1" applyAlignment="1">
      <alignment horizontal="center" vertical="center"/>
    </xf>
    <xf numFmtId="9" fontId="7" fillId="3" borderId="7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64" fontId="8" fillId="12" borderId="5" xfId="0" applyNumberFormat="1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98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8F8F8"/>
        </patternFill>
      </fill>
    </dxf>
    <dxf>
      <fill>
        <patternFill>
          <bgColor rgb="FFA2D9CE"/>
        </patternFill>
      </fill>
    </dxf>
    <dxf>
      <fill>
        <patternFill>
          <bgColor rgb="FFA2D9CE"/>
        </patternFill>
      </fill>
    </dxf>
    <dxf>
      <fill>
        <patternFill>
          <bgColor rgb="FFA2D9CE"/>
        </patternFill>
      </fill>
    </dxf>
    <dxf>
      <fill>
        <patternFill>
          <bgColor rgb="FFD5F5E3"/>
        </patternFill>
      </fill>
    </dxf>
    <dxf>
      <fill>
        <patternFill>
          <bgColor rgb="FF85C1E9"/>
        </patternFill>
      </fill>
    </dxf>
    <dxf>
      <fill>
        <patternFill>
          <bgColor rgb="FF85C1E9"/>
        </patternFill>
      </fill>
    </dxf>
    <dxf>
      <fill>
        <patternFill>
          <bgColor rgb="FFF4F6F7"/>
        </patternFill>
      </fill>
    </dxf>
    <dxf>
      <fill>
        <patternFill>
          <bgColor rgb="FFAEB6BF"/>
        </patternFill>
      </fill>
    </dxf>
    <dxf>
      <fill>
        <patternFill>
          <bgColor rgb="FFAEB6BF"/>
        </patternFill>
      </fill>
    </dxf>
    <dxf>
      <fill>
        <patternFill>
          <bgColor rgb="FF1E8449"/>
        </patternFill>
      </fill>
    </dxf>
    <dxf>
      <fill>
        <patternFill>
          <bgColor rgb="FF196F3D"/>
        </patternFill>
      </fill>
    </dxf>
    <dxf>
      <fill>
        <patternFill>
          <bgColor rgb="FF0E6655"/>
        </patternFill>
      </fill>
    </dxf>
    <dxf>
      <fill>
        <patternFill>
          <bgColor rgb="FF797D7F"/>
        </patternFill>
      </fill>
    </dxf>
    <dxf>
      <fill>
        <patternFill>
          <bgColor rgb="FF2C3E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8F8F8"/>
        </patternFill>
      </fill>
    </dxf>
    <dxf>
      <fill>
        <patternFill>
          <bgColor rgb="FFF4F6F7"/>
        </patternFill>
      </fill>
    </dxf>
    <dxf>
      <fill>
        <patternFill>
          <bgColor rgb="FFF5B7B1"/>
        </patternFill>
      </fill>
    </dxf>
    <dxf>
      <fill>
        <patternFill>
          <bgColor rgb="FFF5B7B1"/>
        </patternFill>
      </fill>
    </dxf>
    <dxf>
      <fill>
        <patternFill>
          <bgColor rgb="FFABEBC6"/>
        </patternFill>
      </fill>
    </dxf>
    <dxf>
      <fill>
        <patternFill>
          <bgColor rgb="FFEBDEF0"/>
        </patternFill>
      </fill>
    </dxf>
    <dxf>
      <fill>
        <patternFill>
          <bgColor rgb="FFEBDEF0"/>
        </patternFill>
      </fill>
    </dxf>
    <dxf>
      <fill>
        <patternFill>
          <bgColor rgb="FFD7BDE2"/>
        </patternFill>
      </fill>
    </dxf>
    <dxf>
      <fill>
        <patternFill>
          <bgColor rgb="FFEBDEF0"/>
        </patternFill>
      </fill>
    </dxf>
    <dxf>
      <fill>
        <patternFill>
          <bgColor rgb="FFEBDEF0"/>
        </patternFill>
      </fill>
    </dxf>
    <dxf>
      <fill>
        <patternFill>
          <bgColor rgb="FF85C1E9"/>
        </patternFill>
      </fill>
    </dxf>
    <dxf>
      <fill>
        <patternFill>
          <bgColor rgb="FFD7BDE2"/>
        </patternFill>
      </fill>
    </dxf>
    <dxf>
      <fill>
        <patternFill>
          <bgColor rgb="FFA9CCE3"/>
        </patternFill>
      </fill>
    </dxf>
    <dxf>
      <fill>
        <patternFill>
          <bgColor rgb="FF2980B9"/>
        </patternFill>
      </fill>
    </dxf>
    <dxf>
      <fill>
        <patternFill>
          <bgColor rgb="FFF1948A"/>
        </patternFill>
      </fill>
    </dxf>
    <dxf>
      <fill>
        <patternFill>
          <bgColor rgb="FFCACFD2"/>
        </patternFill>
      </fill>
    </dxf>
    <dxf>
      <fill>
        <patternFill>
          <bgColor rgb="FFCACFD2"/>
        </patternFill>
      </fill>
    </dxf>
    <dxf>
      <fill>
        <patternFill>
          <bgColor rgb="FFA9DFBF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F5B7B1"/>
        </patternFill>
      </fill>
    </dxf>
    <dxf>
      <fill>
        <patternFill>
          <bgColor rgb="FFF5B7B1"/>
        </patternFill>
      </fill>
    </dxf>
    <dxf>
      <fill>
        <patternFill>
          <bgColor rgb="FFABEBC6"/>
        </patternFill>
      </fill>
    </dxf>
    <dxf>
      <fill>
        <patternFill>
          <bgColor rgb="FF229954"/>
        </patternFill>
      </fill>
    </dxf>
    <dxf>
      <fill>
        <patternFill>
          <bgColor rgb="FF566573"/>
        </patternFill>
      </fill>
    </dxf>
    <dxf>
      <fill>
        <patternFill>
          <bgColor rgb="FFE74C3C"/>
        </patternFill>
      </fill>
    </dxf>
    <dxf>
      <fill>
        <patternFill>
          <bgColor rgb="FF00880C"/>
        </patternFill>
      </fill>
    </dxf>
    <dxf>
      <fill>
        <patternFill>
          <bgColor rgb="FF7D3C98"/>
        </patternFill>
      </fill>
    </dxf>
    <dxf>
      <fill>
        <patternFill>
          <bgColor rgb="FF1A5276"/>
        </patternFill>
      </fill>
    </dxf>
    <dxf>
      <fill>
        <patternFill>
          <bgColor rgb="FF9B59B6"/>
        </patternFill>
      </fill>
    </dxf>
    <dxf>
      <fill>
        <patternFill>
          <bgColor rgb="FF03AC0E"/>
        </patternFill>
      </fill>
    </dxf>
    <dxf>
      <fill>
        <patternFill>
          <bgColor rgb="FF797D7F"/>
        </patternFill>
      </fill>
    </dxf>
    <dxf>
      <fill>
        <patternFill>
          <bgColor rgb="FFC0392B"/>
        </patternFill>
      </fill>
    </dxf>
    <dxf>
      <fill>
        <patternFill>
          <bgColor rgb="FF2471A3"/>
        </patternFill>
      </fill>
    </dxf>
    <dxf>
      <fill>
        <patternFill>
          <bgColor rgb="FF2980B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8F8F8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F7DC6F"/>
        </patternFill>
      </fill>
    </dxf>
    <dxf>
      <fill>
        <patternFill>
          <bgColor rgb="FFF7DC6F"/>
        </patternFill>
      </fill>
    </dxf>
    <dxf>
      <fill>
        <patternFill>
          <bgColor rgb="FFE6B0AA"/>
        </patternFill>
      </fill>
    </dxf>
    <dxf>
      <fill>
        <patternFill>
          <bgColor rgb="FFE6B0AA"/>
        </patternFill>
      </fill>
    </dxf>
    <dxf>
      <fill>
        <patternFill>
          <bgColor rgb="FFE6B0AA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F4F6F7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2471A3"/>
        </patternFill>
      </fill>
    </dxf>
    <dxf>
      <fill>
        <patternFill>
          <bgColor rgb="FF943126"/>
        </patternFill>
      </fill>
    </dxf>
    <dxf>
      <fill>
        <patternFill>
          <bgColor rgb="FF873600"/>
        </patternFill>
      </fill>
    </dxf>
    <dxf>
      <fill>
        <patternFill>
          <bgColor rgb="FFBA4A00"/>
        </patternFill>
      </fill>
    </dxf>
    <dxf>
      <fill>
        <patternFill>
          <bgColor rgb="FFD35400"/>
        </patternFill>
      </fill>
    </dxf>
    <dxf>
      <fill>
        <patternFill>
          <bgColor rgb="FFB7950B"/>
        </patternFill>
      </fill>
    </dxf>
    <dxf>
      <fill>
        <patternFill>
          <bgColor rgb="FF797D7F"/>
        </patternFill>
      </fill>
    </dxf>
    <dxf>
      <font>
        <color theme="1"/>
      </font>
      <fill>
        <patternFill>
          <bgColor rgb="FFC00000"/>
        </patternFill>
      </fill>
    </dxf>
    <dxf>
      <fill>
        <patternFill patternType="solid">
          <fgColor auto="1"/>
          <bgColor rgb="FF92D050"/>
        </patternFill>
      </fill>
    </dxf>
  </dxfs>
  <tableStyles count="0" defaultTableStyle="TableStyleMedium2" defaultPivotStyle="PivotStyleLight16"/>
  <colors>
    <mruColors>
      <color rgb="FFF4F6F7"/>
      <color rgb="FFABEBC6"/>
      <color rgb="FFEBDEF0"/>
      <color rgb="FF85C1E9"/>
      <color rgb="FFD7BDE2"/>
      <color rgb="FFA9CCE3"/>
      <color rgb="FF2980B9"/>
      <color rgb="FFF1948A"/>
      <color rgb="FFCACFD2"/>
      <color rgb="FFA9D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Pengeluaran per Minggu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D-4AEF-8AAD-806DEB5C06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D-4AEF-8AAD-806DEB5C06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7D-4AEF-8AAD-806DEB5C06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7D-4AEF-8AAD-806DEB5C06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7D-4AEF-8AAD-806DEB5C06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7D-4AEF-8AAD-806DEB5C06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Minggu 1</c:v>
              </c:pt>
              <c:pt idx="1">
                <c:v> Minggu 2</c:v>
              </c:pt>
              <c:pt idx="2">
                <c:v> Minggu 3</c:v>
              </c:pt>
              <c:pt idx="3">
                <c:v> Minggu 4</c:v>
              </c:pt>
              <c:pt idx="4">
                <c:v> Minggu 5</c:v>
              </c:pt>
              <c:pt idx="5">
                <c:v> Sisa Uang</c:v>
              </c:pt>
            </c:strLit>
          </c:cat>
          <c:val>
            <c:numRef>
              <c:f>'Detail Transaksi'!$I$19:$I$24</c:f>
              <c:numCache>
                <c:formatCode>_-[$Rp-3809]* #,##0.00_-;\-[$Rp-3809]* #,##0.00_-;_-[$Rp-3809]* "-"??_-;_-@_-</c:formatCode>
                <c:ptCount val="6"/>
                <c:pt idx="0">
                  <c:v>114400</c:v>
                </c:pt>
                <c:pt idx="1">
                  <c:v>71350</c:v>
                </c:pt>
                <c:pt idx="2">
                  <c:v>39000</c:v>
                </c:pt>
                <c:pt idx="3">
                  <c:v>35000</c:v>
                </c:pt>
                <c:pt idx="4">
                  <c:v>234000</c:v>
                </c:pt>
                <c:pt idx="5">
                  <c:v>2506250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F-4E4B-A97E-6907AE8857F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D97D-4AEF-8AAD-806DEB5C062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D97D-4AEF-8AAD-806DEB5C062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1-D97D-4AEF-8AAD-806DEB5C062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D97D-4AEF-8AAD-806DEB5C0627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D97D-4AEF-8AAD-806DEB5C0627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D97D-4AEF-8AAD-806DEB5C0627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Lit>
                    <c:ptCount val="6"/>
                    <c:pt idx="0">
                      <c:v>Minggu 1</c:v>
                    </c:pt>
                    <c:pt idx="1">
                      <c:v> Minggu 2</c:v>
                    </c:pt>
                    <c:pt idx="2">
                      <c:v> Minggu 3</c:v>
                    </c:pt>
                    <c:pt idx="3">
                      <c:v> Minggu 4</c:v>
                    </c:pt>
                    <c:pt idx="4">
                      <c:v> Minggu 5</c:v>
                    </c:pt>
                    <c:pt idx="5">
                      <c:v> Sisa Uang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'Detail Transaksi'!$J$19:$J$24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EFF-4E4B-A97E-6907AE8857F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Perbandingan Pengeluaran per Minggu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'Detail Transaksi'!$I$31:$I$36</c:f>
              <c:numCache>
                <c:formatCode>_-[$Rp-3809]* #,##0.00_-;\-[$Rp-3809]* #,##0.00_-;_-[$Rp-3809]* "-"??_-;_-@_-</c:formatCode>
                <c:ptCount val="6"/>
                <c:pt idx="0">
                  <c:v>114400</c:v>
                </c:pt>
                <c:pt idx="1">
                  <c:v>71350</c:v>
                </c:pt>
                <c:pt idx="2">
                  <c:v>39000</c:v>
                </c:pt>
                <c:pt idx="3">
                  <c:v>35000</c:v>
                </c:pt>
                <c:pt idx="4">
                  <c:v>234000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20-477D-8054-585257096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780384"/>
        <c:axId val="12679238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'Detail Transaksi'!$J$31:$J$36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C20-477D-8054-5852570965E1}"/>
                  </c:ext>
                </c:extLst>
              </c15:ser>
            </c15:filteredLineSeries>
          </c:ext>
        </c:extLst>
      </c:lineChart>
      <c:catAx>
        <c:axId val="1267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92384"/>
        <c:crosses val="autoZero"/>
        <c:auto val="1"/>
        <c:lblAlgn val="ctr"/>
        <c:lblOffset val="100"/>
        <c:noMultiLvlLbl val="0"/>
      </c:catAx>
      <c:valAx>
        <c:axId val="12679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3809]* #,##0.00_-;\-[$Rp-3809]* #,##0.0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8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Pengeluaran Uang Digital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D5-463C-8700-B486D5E319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D5-463C-8700-B486D5E319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D5-463C-8700-B486D5E319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D5-463C-8700-B486D5E319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Makanan Pokok</c:v>
              </c:pt>
              <c:pt idx="1">
                <c:v> Kebutuhan lain</c:v>
              </c:pt>
              <c:pt idx="2">
                <c:v> Jajan</c:v>
              </c:pt>
              <c:pt idx="3">
                <c:v> Sisa Uang</c:v>
              </c:pt>
            </c:strLit>
          </c:cat>
          <c:val>
            <c:numRef>
              <c:f>'Detail Transaksi'!$B$20:$B$23</c:f>
              <c:numCache>
                <c:formatCode>_-[$Rp-3809]* #,##0.00_-;\-[$Rp-3809]* #,##0.00_-;_-[$Rp-3809]* "-"??_-;_-@_-</c:formatCode>
                <c:ptCount val="4"/>
                <c:pt idx="0">
                  <c:v>109500</c:v>
                </c:pt>
                <c:pt idx="1">
                  <c:v>279350</c:v>
                </c:pt>
                <c:pt idx="2">
                  <c:v>0</c:v>
                </c:pt>
                <c:pt idx="3">
                  <c:v>1111150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B-4508-8B40-951BDAB90D4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1BD5-463C-8700-B486D5E319A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1BD5-463C-8700-B486D5E319A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1BD5-463C-8700-B486D5E319A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1BD5-463C-8700-B486D5E319A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Lit>
                    <c:ptCount val="4"/>
                    <c:pt idx="0">
                      <c:v>Makanan Pokok</c:v>
                    </c:pt>
                    <c:pt idx="1">
                      <c:v> Kebutuhan lain</c:v>
                    </c:pt>
                    <c:pt idx="2">
                      <c:v> Jajan</c:v>
                    </c:pt>
                    <c:pt idx="3">
                      <c:v> Sisa Uang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'Detail Transaksi'!$C$20:$C$23</c15:sqref>
                        </c15:formulaRef>
                      </c:ext>
                    </c:extLst>
                    <c:numCache>
                      <c:formatCode>_-[$Rp-3809]* #,##0.00_-;\-[$Rp-3809]* #,##0.00_-;_-[$Rp-3809]* "-"??_-;_-@_-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7FB-4508-8B40-951BDAB90D4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" lastClr="FFFFFF"/>
                </a:solidFill>
              </a:rPr>
              <a:t>Nominal Pengeluaran Uang Digital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2D-4C92-976F-BD3096D7A3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2D-4C92-976F-BD3096D7A3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2D-4C92-976F-BD3096D7A3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2D-4C92-976F-BD3096D7A3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Makanan Pokok</c:v>
              </c:pt>
              <c:pt idx="1">
                <c:v> Kebutuhan Lain</c:v>
              </c:pt>
              <c:pt idx="2">
                <c:v> Jajan</c:v>
              </c:pt>
              <c:pt idx="3">
                <c:v> Sisa Uang</c:v>
              </c:pt>
            </c:strLit>
          </c:cat>
          <c:val>
            <c:numRef>
              <c:f>'Detail Transaksi'!$B$32:$B$35</c:f>
              <c:numCache>
                <c:formatCode>_-[$Rp-3809]* #,##0.00_-;\-[$Rp-3809]* #,##0.00_-;_-[$Rp-3809]* "-"??_-;_-@_-</c:formatCode>
                <c:ptCount val="4"/>
                <c:pt idx="0">
                  <c:v>109500</c:v>
                </c:pt>
                <c:pt idx="1">
                  <c:v>279350</c:v>
                </c:pt>
                <c:pt idx="2">
                  <c:v>0</c:v>
                </c:pt>
                <c:pt idx="3">
                  <c:v>1111150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3-49A7-BC4E-E4970A871DC2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F12D-4C92-976F-BD3096D7A3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F12D-4C92-976F-BD3096D7A3D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F12D-4C92-976F-BD3096D7A3D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F12D-4C92-976F-BD3096D7A3D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Lit>
                    <c:ptCount val="4"/>
                    <c:pt idx="0">
                      <c:v>Makanan Pokok</c:v>
                    </c:pt>
                    <c:pt idx="1">
                      <c:v> Kebutuhan Lain</c:v>
                    </c:pt>
                    <c:pt idx="2">
                      <c:v> Jajan</c:v>
                    </c:pt>
                    <c:pt idx="3">
                      <c:v> Sisa Uang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'Detail Transaksi'!$C$32:$C$35</c15:sqref>
                        </c15:formulaRef>
                      </c:ext>
                    </c:extLst>
                    <c:numCache>
                      <c:formatCode>_-[$Rp-3809]* #,##0.00_-;\-[$Rp-3809]* #,##0.00_-;_-[$Rp-3809]* "-"??_-;_-@_-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143-49A7-BC4E-E4970A871DC2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" lastClr="FFFFFF"/>
                </a:solidFill>
              </a:rPr>
              <a:t>Persentase Pengeluaran Uang Tunai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DA-4579-952F-05A3AD41268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DA-4579-952F-05A3AD41268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DA-4579-952F-05A3AD412684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DA-4579-952F-05A3AD4126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Makanan Pokok</c:v>
              </c:pt>
              <c:pt idx="1">
                <c:v> Kebutuhan Lain</c:v>
              </c:pt>
              <c:pt idx="2">
                <c:v> Jajan</c:v>
              </c:pt>
              <c:pt idx="3">
                <c:v> Sisa Uang</c:v>
              </c:pt>
            </c:strLit>
          </c:cat>
          <c:val>
            <c:numRef>
              <c:f>'Detail Transaksi'!$P$20:$P$23</c:f>
              <c:numCache>
                <c:formatCode>_-[$Rp-3809]* #,##0.00_-;\-[$Rp-3809]* #,##0.00_-;_-[$Rp-3809]* "-"??_-;_-@_-</c:formatCode>
                <c:ptCount val="4"/>
                <c:pt idx="0">
                  <c:v>0</c:v>
                </c:pt>
                <c:pt idx="1">
                  <c:v>39900</c:v>
                </c:pt>
                <c:pt idx="2">
                  <c:v>65000</c:v>
                </c:pt>
                <c:pt idx="3">
                  <c:v>1395100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6-4FB0-A9FD-23068BE2232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94DA-4579-952F-05A3AD41268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94DA-4579-952F-05A3AD41268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94DA-4579-952F-05A3AD41268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94DA-4579-952F-05A3AD41268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Lit>
                    <c:ptCount val="4"/>
                    <c:pt idx="0">
                      <c:v>Makanan Pokok</c:v>
                    </c:pt>
                    <c:pt idx="1">
                      <c:v> Kebutuhan Lain</c:v>
                    </c:pt>
                    <c:pt idx="2">
                      <c:v> Jajan</c:v>
                    </c:pt>
                    <c:pt idx="3">
                      <c:v> Sisa Uang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'Detail Transaksi'!$Q$20:$Q$23</c15:sqref>
                        </c15:formulaRef>
                      </c:ext>
                    </c:extLst>
                    <c:numCache>
                      <c:formatCode>_-[$Rp-3809]* #,##0.00_-;\-[$Rp-3809]* #,##0.00_-;_-[$Rp-3809]* "-"??_-;_-@_-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2D6-4FB0-A9FD-23068BE2232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" lastClr="FFFFFF"/>
                </a:solidFill>
              </a:rPr>
              <a:t>Nominal Pengeluaran Uang Digital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5C-445B-9828-BA7A1F38262C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5C-445B-9828-BA7A1F38262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5C-445B-9828-BA7A1F38262C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5C-445B-9828-BA7A1F3826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Makanan Pokok</c:v>
              </c:pt>
              <c:pt idx="1">
                <c:v> Kebutuhan lain</c:v>
              </c:pt>
              <c:pt idx="2">
                <c:v> Jajan</c:v>
              </c:pt>
              <c:pt idx="3">
                <c:v> Sisa Uang</c:v>
              </c:pt>
            </c:strLit>
          </c:cat>
          <c:val>
            <c:numRef>
              <c:f>'Detail Transaksi'!$P$32:$P$35</c:f>
              <c:numCache>
                <c:formatCode>_-[$Rp-3809]* #,##0.00_-;\-[$Rp-3809]* #,##0.00_-;_-[$Rp-3809]* "-"??_-;_-@_-</c:formatCode>
                <c:ptCount val="4"/>
                <c:pt idx="0">
                  <c:v>0</c:v>
                </c:pt>
                <c:pt idx="1">
                  <c:v>39900</c:v>
                </c:pt>
                <c:pt idx="2">
                  <c:v>65000</c:v>
                </c:pt>
                <c:pt idx="3">
                  <c:v>1395100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7-4475-8924-0CFF08ACB6C9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F65C-445B-9828-BA7A1F3826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F65C-445B-9828-BA7A1F3826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F65C-445B-9828-BA7A1F38262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F65C-445B-9828-BA7A1F3826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Lit>
                    <c:ptCount val="4"/>
                    <c:pt idx="0">
                      <c:v>Makanan Pokok</c:v>
                    </c:pt>
                    <c:pt idx="1">
                      <c:v> Kebutuhan lain</c:v>
                    </c:pt>
                    <c:pt idx="2">
                      <c:v> Jajan</c:v>
                    </c:pt>
                    <c:pt idx="3">
                      <c:v> Sisa Uang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'Detail Transaksi'!$Q$32:$Q$35</c15:sqref>
                        </c15:formulaRef>
                      </c:ext>
                    </c:extLst>
                    <c:numCache>
                      <c:formatCode>_-[$Rp-3809]* #,##0.00_-;\-[$Rp-3809]* #,##0.00_-;_-[$Rp-3809]* "-"??_-;_-@_-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B07-4475-8924-0CFF08ACB6C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17</xdr:row>
      <xdr:rowOff>233363</xdr:rowOff>
    </xdr:from>
    <xdr:to>
      <xdr:col>14</xdr:col>
      <xdr:colOff>9525</xdr:colOff>
      <xdr:row>29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1BB2F6-9F13-3652-8D50-54B51313D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30</xdr:row>
      <xdr:rowOff>42862</xdr:rowOff>
    </xdr:from>
    <xdr:to>
      <xdr:col>14</xdr:col>
      <xdr:colOff>0</xdr:colOff>
      <xdr:row>41</xdr:row>
      <xdr:rowOff>247649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82DE67-9B7D-9D2E-AFD2-C8823156B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242887</xdr:rowOff>
    </xdr:from>
    <xdr:to>
      <xdr:col>7</xdr:col>
      <xdr:colOff>0</xdr:colOff>
      <xdr:row>29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1D4FDD-E8FC-27AB-B1C9-F1276DF2A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257174</xdr:colOff>
      <xdr:row>30</xdr:row>
      <xdr:rowOff>33338</xdr:rowOff>
    </xdr:from>
    <xdr:to>
      <xdr:col>6</xdr:col>
      <xdr:colOff>800099</xdr:colOff>
      <xdr:row>41</xdr:row>
      <xdr:rowOff>209550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9654AC-1AB7-8015-173D-594DB5D41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238125</xdr:colOff>
      <xdr:row>17</xdr:row>
      <xdr:rowOff>223838</xdr:rowOff>
    </xdr:from>
    <xdr:to>
      <xdr:col>20</xdr:col>
      <xdr:colOff>790575</xdr:colOff>
      <xdr:row>29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8234B0-19E4-34BE-3A13-348A8B98A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238125</xdr:colOff>
      <xdr:row>30</xdr:row>
      <xdr:rowOff>23813</xdr:rowOff>
    </xdr:from>
    <xdr:to>
      <xdr:col>20</xdr:col>
      <xdr:colOff>790575</xdr:colOff>
      <xdr:row>41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AE5AF5-3E76-3079-4EB6-7C27B1143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1"/>
  <sheetViews>
    <sheetView zoomScaleNormal="100" workbookViewId="0">
      <selection activeCell="O12" sqref="O12"/>
    </sheetView>
  </sheetViews>
  <sheetFormatPr defaultColWidth="11.77734375" defaultRowHeight="14.4" customHeight="1" x14ac:dyDescent="0.3"/>
  <cols>
    <col min="1" max="1" width="3.77734375" style="4" customWidth="1"/>
    <col min="2" max="16384" width="11.77734375" style="4"/>
  </cols>
  <sheetData>
    <row r="2" spans="2:13" ht="14.4" customHeight="1" x14ac:dyDescent="0.3">
      <c r="B2" s="58" t="s">
        <v>83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60"/>
    </row>
    <row r="3" spans="2:13" ht="14.4" customHeight="1" x14ac:dyDescent="0.3">
      <c r="B3" s="61"/>
      <c r="C3" s="62"/>
      <c r="D3" s="62"/>
      <c r="E3" s="62"/>
      <c r="F3" s="62"/>
      <c r="G3" s="62"/>
      <c r="H3" s="62"/>
      <c r="I3" s="62"/>
      <c r="J3" s="62"/>
      <c r="K3" s="62"/>
      <c r="L3" s="62"/>
      <c r="M3" s="63"/>
    </row>
    <row r="4" spans="2:13" ht="14.4" customHeight="1" x14ac:dyDescent="0.3">
      <c r="B4" s="64"/>
      <c r="C4" s="65"/>
      <c r="D4" s="65"/>
      <c r="E4" s="65"/>
      <c r="F4" s="65"/>
      <c r="G4" s="65"/>
      <c r="H4" s="65"/>
      <c r="I4" s="65"/>
      <c r="J4" s="65"/>
      <c r="K4" s="65"/>
      <c r="L4" s="65"/>
      <c r="M4" s="66"/>
    </row>
    <row r="6" spans="2:13" ht="14.4" customHeight="1" x14ac:dyDescent="0.3">
      <c r="B6" s="73" t="s">
        <v>57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5"/>
    </row>
    <row r="7" spans="2:13" ht="14.4" customHeight="1" x14ac:dyDescent="0.3">
      <c r="B7" s="67"/>
      <c r="C7" s="68"/>
      <c r="D7" s="68"/>
      <c r="E7" s="68"/>
      <c r="F7" s="68"/>
      <c r="G7" s="68"/>
      <c r="H7" s="68"/>
      <c r="I7" s="68"/>
      <c r="J7" s="68"/>
      <c r="K7" s="68"/>
      <c r="L7" s="68"/>
      <c r="M7" s="69"/>
    </row>
    <row r="8" spans="2:13" ht="14.4" customHeight="1" x14ac:dyDescent="0.3">
      <c r="B8" s="67" t="s">
        <v>58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9"/>
    </row>
    <row r="9" spans="2:13" ht="14.4" customHeight="1" x14ac:dyDescent="0.3">
      <c r="B9" s="67"/>
      <c r="C9" s="68"/>
      <c r="D9" s="68"/>
      <c r="E9" s="68"/>
      <c r="F9" s="68"/>
      <c r="G9" s="68"/>
      <c r="H9" s="68"/>
      <c r="I9" s="68"/>
      <c r="J9" s="68"/>
      <c r="K9" s="68"/>
      <c r="L9" s="68"/>
      <c r="M9" s="69"/>
    </row>
    <row r="10" spans="2:13" ht="14.4" customHeight="1" x14ac:dyDescent="0.3">
      <c r="B10" s="67" t="s">
        <v>59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9"/>
    </row>
    <row r="11" spans="2:13" ht="14.4" customHeight="1" x14ac:dyDescent="0.3">
      <c r="B11" s="70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2"/>
    </row>
    <row r="13" spans="2:13" ht="14.4" customHeight="1" x14ac:dyDescent="0.3">
      <c r="B13" s="76" t="s">
        <v>31</v>
      </c>
      <c r="C13" s="77"/>
      <c r="D13" s="78"/>
      <c r="E13" s="85" t="s">
        <v>32</v>
      </c>
      <c r="F13" s="86"/>
      <c r="G13" s="87"/>
      <c r="H13" s="94" t="s">
        <v>61</v>
      </c>
      <c r="I13" s="95"/>
      <c r="J13" s="96"/>
      <c r="K13" s="103" t="s">
        <v>60</v>
      </c>
      <c r="L13" s="104"/>
      <c r="M13" s="105"/>
    </row>
    <row r="14" spans="2:13" ht="14.4" customHeight="1" x14ac:dyDescent="0.3">
      <c r="B14" s="79"/>
      <c r="C14" s="80"/>
      <c r="D14" s="81"/>
      <c r="E14" s="88"/>
      <c r="F14" s="89"/>
      <c r="G14" s="90"/>
      <c r="H14" s="97"/>
      <c r="I14" s="98"/>
      <c r="J14" s="99"/>
      <c r="K14" s="106"/>
      <c r="L14" s="107"/>
      <c r="M14" s="108"/>
    </row>
    <row r="15" spans="2:13" ht="14.4" customHeight="1" x14ac:dyDescent="0.3">
      <c r="B15" s="82"/>
      <c r="C15" s="83"/>
      <c r="D15" s="84"/>
      <c r="E15" s="91"/>
      <c r="F15" s="92"/>
      <c r="G15" s="93"/>
      <c r="H15" s="100"/>
      <c r="I15" s="101"/>
      <c r="J15" s="102"/>
      <c r="K15" s="109"/>
      <c r="L15" s="110"/>
      <c r="M15" s="111"/>
    </row>
    <row r="16" spans="2:13" ht="14.4" customHeight="1" x14ac:dyDescent="0.3">
      <c r="B16" s="22" t="s">
        <v>62</v>
      </c>
      <c r="C16" s="23"/>
      <c r="D16" s="24"/>
      <c r="E16" s="31" t="s">
        <v>63</v>
      </c>
      <c r="F16" s="32"/>
      <c r="G16" s="33"/>
      <c r="H16" s="40" t="s">
        <v>64</v>
      </c>
      <c r="I16" s="41"/>
      <c r="J16" s="42"/>
      <c r="K16" s="49" t="s">
        <v>65</v>
      </c>
      <c r="L16" s="50"/>
      <c r="M16" s="51"/>
    </row>
    <row r="17" spans="2:13" ht="14.4" customHeight="1" x14ac:dyDescent="0.3">
      <c r="B17" s="25"/>
      <c r="C17" s="26"/>
      <c r="D17" s="27"/>
      <c r="E17" s="34"/>
      <c r="F17" s="35"/>
      <c r="G17" s="36"/>
      <c r="H17" s="43"/>
      <c r="I17" s="44"/>
      <c r="J17" s="45"/>
      <c r="K17" s="52"/>
      <c r="L17" s="53"/>
      <c r="M17" s="54"/>
    </row>
    <row r="18" spans="2:13" ht="14.4" customHeight="1" x14ac:dyDescent="0.3">
      <c r="B18" s="25"/>
      <c r="C18" s="26"/>
      <c r="D18" s="27"/>
      <c r="E18" s="34"/>
      <c r="F18" s="35"/>
      <c r="G18" s="36"/>
      <c r="H18" s="43"/>
      <c r="I18" s="44"/>
      <c r="J18" s="45"/>
      <c r="K18" s="52"/>
      <c r="L18" s="53"/>
      <c r="M18" s="54"/>
    </row>
    <row r="19" spans="2:13" ht="14.4" customHeight="1" x14ac:dyDescent="0.3">
      <c r="B19" s="25"/>
      <c r="C19" s="26"/>
      <c r="D19" s="27"/>
      <c r="E19" s="34"/>
      <c r="F19" s="35"/>
      <c r="G19" s="36"/>
      <c r="H19" s="43"/>
      <c r="I19" s="44"/>
      <c r="J19" s="45"/>
      <c r="K19" s="52"/>
      <c r="L19" s="53"/>
      <c r="M19" s="54"/>
    </row>
    <row r="20" spans="2:13" ht="14.4" customHeight="1" x14ac:dyDescent="0.3">
      <c r="B20" s="25"/>
      <c r="C20" s="26"/>
      <c r="D20" s="27"/>
      <c r="E20" s="34"/>
      <c r="F20" s="35"/>
      <c r="G20" s="36"/>
      <c r="H20" s="43"/>
      <c r="I20" s="44"/>
      <c r="J20" s="45"/>
      <c r="K20" s="52"/>
      <c r="L20" s="53"/>
      <c r="M20" s="54"/>
    </row>
    <row r="21" spans="2:13" ht="14.4" customHeight="1" x14ac:dyDescent="0.3">
      <c r="B21" s="25"/>
      <c r="C21" s="26"/>
      <c r="D21" s="27"/>
      <c r="E21" s="34"/>
      <c r="F21" s="35"/>
      <c r="G21" s="36"/>
      <c r="H21" s="43"/>
      <c r="I21" s="44"/>
      <c r="J21" s="45"/>
      <c r="K21" s="52"/>
      <c r="L21" s="53"/>
      <c r="M21" s="54"/>
    </row>
    <row r="22" spans="2:13" ht="14.4" customHeight="1" x14ac:dyDescent="0.3">
      <c r="B22" s="28"/>
      <c r="C22" s="29"/>
      <c r="D22" s="30"/>
      <c r="E22" s="37"/>
      <c r="F22" s="38"/>
      <c r="G22" s="39"/>
      <c r="H22" s="46"/>
      <c r="I22" s="47"/>
      <c r="J22" s="48"/>
      <c r="K22" s="55"/>
      <c r="L22" s="56"/>
      <c r="M22" s="57"/>
    </row>
    <row r="29" spans="2:13" ht="14.4" customHeight="1" x14ac:dyDescent="0.3">
      <c r="C29" s="5"/>
      <c r="I29" s="5"/>
    </row>
    <row r="30" spans="2:13" ht="14.4" customHeight="1" x14ac:dyDescent="0.3">
      <c r="C30" s="5"/>
      <c r="I30" s="5"/>
    </row>
    <row r="31" spans="2:13" ht="14.4" customHeight="1" x14ac:dyDescent="0.3">
      <c r="C31" s="5"/>
      <c r="I31" s="5"/>
    </row>
  </sheetData>
  <mergeCells count="12">
    <mergeCell ref="B16:D22"/>
    <mergeCell ref="E16:G22"/>
    <mergeCell ref="H16:J22"/>
    <mergeCell ref="K16:M22"/>
    <mergeCell ref="B2:M4"/>
    <mergeCell ref="B10:M11"/>
    <mergeCell ref="B8:M9"/>
    <mergeCell ref="B6:M7"/>
    <mergeCell ref="B13:D15"/>
    <mergeCell ref="E13:G15"/>
    <mergeCell ref="H13:J15"/>
    <mergeCell ref="K13:M15"/>
  </mergeCells>
  <phoneticPr fontId="10" type="noConversion"/>
  <hyperlinks>
    <hyperlink ref="B13:D15" location="'Detail Transaksi'!A1" display="Detail Transaksi" xr:uid="{D1311707-3D04-4812-BF9D-7ADE657DF64F}"/>
    <hyperlink ref="E13:G15" location="Pengeluaran!A1" display="Pengeluaran" xr:uid="{06A35D15-4F86-408B-A786-95B597802D7F}"/>
    <hyperlink ref="H13:J15" location="Pendapatan!A1" display="Pendapatan" xr:uid="{890750DB-F273-48ED-885D-679D9F3D0720}"/>
    <hyperlink ref="K13:M15" location="Pendukung!A1" display="Pendukung" xr:uid="{C13EF219-C36D-4019-BF77-AB128CC9D26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545C-C046-4973-9E14-F65CDDAD5DA4}">
  <dimension ref="B2:X52"/>
  <sheetViews>
    <sheetView zoomScale="80" zoomScaleNormal="80" workbookViewId="0">
      <selection activeCell="R9" sqref="R9:U10"/>
    </sheetView>
  </sheetViews>
  <sheetFormatPr defaultColWidth="11.77734375" defaultRowHeight="19.8" customHeight="1" x14ac:dyDescent="0.3"/>
  <cols>
    <col min="1" max="1" width="3.77734375" style="4" customWidth="1"/>
    <col min="2" max="7" width="11.77734375" style="4"/>
    <col min="8" max="8" width="3.77734375" style="4" customWidth="1"/>
    <col min="9" max="9" width="11.77734375" style="4"/>
    <col min="10" max="10" width="11.77734375" style="4" customWidth="1"/>
    <col min="11" max="13" width="11.77734375" style="4"/>
    <col min="14" max="14" width="11.77734375" style="4" customWidth="1"/>
    <col min="15" max="15" width="3.77734375" style="4" customWidth="1"/>
    <col min="16" max="16" width="11.77734375" style="4"/>
    <col min="17" max="17" width="11.77734375" style="4" customWidth="1"/>
    <col min="18" max="20" width="11.77734375" style="4"/>
    <col min="21" max="21" width="11.77734375" style="4" customWidth="1"/>
    <col min="22" max="22" width="3.77734375" style="4" customWidth="1"/>
    <col min="23" max="16384" width="11.77734375" style="4"/>
  </cols>
  <sheetData>
    <row r="2" spans="2:24" ht="19.8" customHeight="1" x14ac:dyDescent="0.3">
      <c r="B2" s="157" t="s">
        <v>31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</row>
    <row r="3" spans="2:24" ht="19.8" customHeight="1" x14ac:dyDescent="0.3"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</row>
    <row r="4" spans="2:24" ht="19.8" customHeight="1" x14ac:dyDescent="0.3"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</row>
    <row r="6" spans="2:24" ht="19.8" customHeight="1" x14ac:dyDescent="0.3">
      <c r="B6" s="139" t="s">
        <v>36</v>
      </c>
      <c r="C6" s="140"/>
      <c r="D6" s="140"/>
      <c r="E6" s="140"/>
      <c r="F6" s="140"/>
      <c r="G6" s="141"/>
      <c r="H6" s="6"/>
      <c r="I6" s="146" t="s">
        <v>41</v>
      </c>
      <c r="J6" s="146"/>
      <c r="K6" s="146"/>
      <c r="L6" s="146"/>
      <c r="M6" s="146"/>
      <c r="N6" s="146"/>
      <c r="P6" s="139" t="s">
        <v>37</v>
      </c>
      <c r="Q6" s="140"/>
      <c r="R6" s="140"/>
      <c r="S6" s="140"/>
      <c r="T6" s="140"/>
      <c r="U6" s="141"/>
      <c r="W6" s="112" t="s">
        <v>98</v>
      </c>
      <c r="X6" s="113"/>
    </row>
    <row r="7" spans="2:24" ht="19.8" customHeight="1" x14ac:dyDescent="0.3">
      <c r="B7" s="142"/>
      <c r="C7" s="143"/>
      <c r="D7" s="143"/>
      <c r="E7" s="143"/>
      <c r="F7" s="143"/>
      <c r="G7" s="144"/>
      <c r="H7" s="6"/>
      <c r="I7" s="146"/>
      <c r="J7" s="146"/>
      <c r="K7" s="146"/>
      <c r="L7" s="146"/>
      <c r="M7" s="146"/>
      <c r="N7" s="146"/>
      <c r="P7" s="142"/>
      <c r="Q7" s="143"/>
      <c r="R7" s="143"/>
      <c r="S7" s="143"/>
      <c r="T7" s="143"/>
      <c r="U7" s="144"/>
      <c r="W7" s="114"/>
      <c r="X7" s="115"/>
    </row>
    <row r="8" spans="2:24" ht="19.8" customHeight="1" x14ac:dyDescent="0.3">
      <c r="I8" s="145" t="s">
        <v>42</v>
      </c>
      <c r="J8" s="145"/>
      <c r="K8" s="120">
        <f>SUMIFS(Pengeluaran!$G$9:$G$88, Pengeluaran!$F$9:$F$88, "&gt;="&amp;B48, Pengeluaran!$F$9:$F$88, "&lt;="&amp;E48)
+ SUMIFS(Pengeluaran!$O$9:$O$88, Pengeluaran!$N$9:$N$88, "&gt;="&amp;B48, Pengeluaran!$N$9:$N$88, "&lt;="&amp;E48)</f>
        <v>114400</v>
      </c>
      <c r="L8" s="120"/>
      <c r="M8" s="120"/>
      <c r="N8" s="120"/>
      <c r="W8" s="138">
        <v>45960</v>
      </c>
      <c r="X8" s="131"/>
    </row>
    <row r="9" spans="2:24" ht="19.8" customHeight="1" x14ac:dyDescent="0.3">
      <c r="B9" s="145" t="s">
        <v>96</v>
      </c>
      <c r="C9" s="145"/>
      <c r="D9" s="120">
        <f>SUMIFS(Pendapatan!G6:G15, Pendapatan!E6:E15, "Digital")
+SUMIFS(Pendapatan!G6:G15, Pendapatan!D6:D15, "Deposit")
-SUMIFS(Pendapatan!G6:G15, Pendapatan!D6:D15, "Tarik Tunai")</f>
        <v>1500000</v>
      </c>
      <c r="E9" s="120"/>
      <c r="F9" s="120"/>
      <c r="G9" s="120"/>
      <c r="I9" s="145"/>
      <c r="J9" s="145"/>
      <c r="K9" s="120"/>
      <c r="L9" s="120"/>
      <c r="M9" s="120"/>
      <c r="N9" s="120"/>
      <c r="P9" s="121" t="s">
        <v>96</v>
      </c>
      <c r="Q9" s="122"/>
      <c r="R9" s="116">
        <f>SUMIFS(Pendapatan!G6:G15, Pendapatan!E6:E15, "Tunai")
-SUMIFS(Pendapatan!G6:G15, Pendapatan!D6:D15, "Deposit")
+SUMIFS(Pendapatan!G6:G15, Pendapatan!D6:D15, "Tarik Tunai")</f>
        <v>1500000</v>
      </c>
      <c r="S9" s="148"/>
      <c r="T9" s="148"/>
      <c r="U9" s="117"/>
      <c r="W9" s="132"/>
      <c r="X9" s="133"/>
    </row>
    <row r="10" spans="2:24" ht="19.8" customHeight="1" x14ac:dyDescent="0.3">
      <c r="B10" s="145"/>
      <c r="C10" s="145"/>
      <c r="D10" s="120"/>
      <c r="E10" s="120"/>
      <c r="F10" s="120"/>
      <c r="G10" s="120"/>
      <c r="I10" s="145" t="s">
        <v>44</v>
      </c>
      <c r="J10" s="145"/>
      <c r="K10" s="120">
        <f>SUMIFS(Pengeluaran!$G$9:$G$88, Pengeluaran!$F$9:$F$88, "&gt;="&amp;B49, Pengeluaran!$F$9:$F$88, "&lt;="&amp;E49)
+ SUMIFS(Pengeluaran!$O$9:$O$88, Pengeluaran!$N$9:$N$88, "&gt;="&amp;B49, Pengeluaran!$N$9:$N$88, "&lt;="&amp;E49)</f>
        <v>71350</v>
      </c>
      <c r="L10" s="120"/>
      <c r="M10" s="120"/>
      <c r="N10" s="120"/>
      <c r="P10" s="123"/>
      <c r="Q10" s="124"/>
      <c r="R10" s="118"/>
      <c r="S10" s="149"/>
      <c r="T10" s="149"/>
      <c r="U10" s="119"/>
    </row>
    <row r="11" spans="2:24" ht="19.8" customHeight="1" x14ac:dyDescent="0.3">
      <c r="I11" s="145"/>
      <c r="J11" s="145"/>
      <c r="K11" s="120"/>
      <c r="L11" s="120"/>
      <c r="M11" s="120"/>
      <c r="N11" s="120"/>
      <c r="W11" s="134" t="s">
        <v>48</v>
      </c>
      <c r="X11" s="135"/>
    </row>
    <row r="12" spans="2:24" ht="19.8" customHeight="1" x14ac:dyDescent="0.3">
      <c r="B12" s="145" t="s">
        <v>97</v>
      </c>
      <c r="C12" s="145"/>
      <c r="D12" s="120">
        <f>D9-SUMIF(Pengeluaran!E9:E88, "Digital", Pengeluaran!G9:G88)
-SUMIF(Pengeluaran!M9:M88, "Digital", Pengeluaran!O9:O88)</f>
        <v>1111150</v>
      </c>
      <c r="E12" s="120"/>
      <c r="F12" s="120"/>
      <c r="G12" s="120"/>
      <c r="I12" s="145" t="s">
        <v>46</v>
      </c>
      <c r="J12" s="145"/>
      <c r="K12" s="120">
        <f>SUMIFS(Pengeluaran!$G$9:$G$88, Pengeluaran!$F$9:$F$88, "&gt;="&amp;B50, Pengeluaran!$F$9:$F$88, "&lt;="&amp;E50)
+ SUMIFS(Pengeluaran!$O$9:$O$88, Pengeluaran!$N$9:$N$88, "&gt;="&amp;B50, Pengeluaran!$N$9:$N$88, "&lt;="&amp;E50)</f>
        <v>39000</v>
      </c>
      <c r="L12" s="120"/>
      <c r="M12" s="120"/>
      <c r="N12" s="120"/>
      <c r="P12" s="121" t="s">
        <v>97</v>
      </c>
      <c r="Q12" s="122"/>
      <c r="R12" s="116">
        <f>R9-SUMIF(Pengeluaran!E9:E88, "Tunai", Pengeluaran!G9:G88)
-SUMIF(Pengeluaran!M9:M88, "Tunai", Pengeluaran!O9:O88)</f>
        <v>1395100</v>
      </c>
      <c r="S12" s="148"/>
      <c r="T12" s="148"/>
      <c r="U12" s="117"/>
      <c r="W12" s="136"/>
      <c r="X12" s="137"/>
    </row>
    <row r="13" spans="2:24" ht="19.8" customHeight="1" x14ac:dyDescent="0.3">
      <c r="B13" s="145"/>
      <c r="C13" s="145"/>
      <c r="D13" s="120"/>
      <c r="E13" s="120"/>
      <c r="F13" s="120"/>
      <c r="G13" s="120"/>
      <c r="I13" s="145"/>
      <c r="J13" s="145"/>
      <c r="K13" s="120"/>
      <c r="L13" s="120"/>
      <c r="M13" s="120"/>
      <c r="N13" s="120"/>
      <c r="P13" s="123"/>
      <c r="Q13" s="124"/>
      <c r="R13" s="118"/>
      <c r="S13" s="149"/>
      <c r="T13" s="149"/>
      <c r="U13" s="119"/>
      <c r="W13" s="130">
        <f ca="1">_xlfn.DAYS(W8, TODAY())</f>
        <v>23</v>
      </c>
      <c r="X13" s="131"/>
    </row>
    <row r="14" spans="2:24" ht="19.8" customHeight="1" x14ac:dyDescent="0.3">
      <c r="I14" s="145" t="s">
        <v>47</v>
      </c>
      <c r="J14" s="145"/>
      <c r="K14" s="120">
        <f>SUMIFS(Pengeluaran!$G$9:$G$88, Pengeluaran!$F$9:$F$88, "&gt;="&amp;B51, Pengeluaran!$F$9:$F$88, "&lt;="&amp;E51)
+ SUMIFS(Pengeluaran!$O$9:$O$88, Pengeluaran!$N$9:$N$88, "&gt;="&amp;B51, Pengeluaran!$N$9:$N$88, "&lt;="&amp;E51)</f>
        <v>35000</v>
      </c>
      <c r="L14" s="120"/>
      <c r="M14" s="120"/>
      <c r="N14" s="120"/>
      <c r="W14" s="132"/>
      <c r="X14" s="133"/>
    </row>
    <row r="15" spans="2:24" ht="19.8" customHeight="1" x14ac:dyDescent="0.3">
      <c r="B15" s="145" t="s">
        <v>99</v>
      </c>
      <c r="C15" s="145"/>
      <c r="D15" s="147">
        <f>SUMIFS(Pendapatan!G6:G15, Pendapatan!C6:C15, "Sisa", Pendapatan!E6:E15, "Digital")</f>
        <v>1000000</v>
      </c>
      <c r="E15" s="147"/>
      <c r="F15" s="147"/>
      <c r="G15" s="147"/>
      <c r="I15" s="145"/>
      <c r="J15" s="145"/>
      <c r="K15" s="120"/>
      <c r="L15" s="120"/>
      <c r="M15" s="120"/>
      <c r="N15" s="120"/>
      <c r="P15" s="121" t="s">
        <v>99</v>
      </c>
      <c r="Q15" s="122"/>
      <c r="R15" s="116">
        <f>SUMIFS(Pendapatan!G6:G15, Pendapatan!C6:C15, "Sisa", Pendapatan!E6:E15, "Tunai")</f>
        <v>1000000</v>
      </c>
      <c r="S15" s="148"/>
      <c r="T15" s="148"/>
      <c r="U15" s="117"/>
    </row>
    <row r="16" spans="2:24" ht="19.8" customHeight="1" x14ac:dyDescent="0.3">
      <c r="B16" s="145"/>
      <c r="C16" s="145"/>
      <c r="D16" s="147"/>
      <c r="E16" s="147"/>
      <c r="F16" s="147"/>
      <c r="G16" s="147"/>
      <c r="I16" s="145" t="s">
        <v>49</v>
      </c>
      <c r="J16" s="145"/>
      <c r="K16" s="120">
        <f>SUMIFS(Pengeluaran!$G$9:$G$88, Pengeluaran!$F$9:$F$88, "&gt;="&amp;B52, Pengeluaran!$F$9:$F$88, "&lt;="&amp;E52)
+ SUMIFS(Pengeluaran!$O$9:$O$88, Pengeluaran!$N$9:$N$88, "&gt;="&amp;B52, Pengeluaran!$N$9:$N$88, "&lt;="&amp;E52)</f>
        <v>234000</v>
      </c>
      <c r="L16" s="120"/>
      <c r="M16" s="120"/>
      <c r="N16" s="120"/>
      <c r="P16" s="123"/>
      <c r="Q16" s="124"/>
      <c r="R16" s="118"/>
      <c r="S16" s="149"/>
      <c r="T16" s="149"/>
      <c r="U16" s="119"/>
      <c r="W16" s="129" t="s">
        <v>204</v>
      </c>
      <c r="X16" s="129"/>
    </row>
    <row r="17" spans="2:24" ht="19.8" customHeight="1" x14ac:dyDescent="0.3">
      <c r="I17" s="145"/>
      <c r="J17" s="145"/>
      <c r="K17" s="120"/>
      <c r="L17" s="120"/>
      <c r="M17" s="120"/>
      <c r="N17" s="120"/>
      <c r="W17" s="129"/>
      <c r="X17" s="129"/>
    </row>
    <row r="18" spans="2:24" ht="19.8" customHeight="1" x14ac:dyDescent="0.3">
      <c r="W18" s="128">
        <f>(D9+R9)/DAY(W8)</f>
        <v>100000</v>
      </c>
      <c r="X18" s="128"/>
    </row>
    <row r="19" spans="2:24" ht="19.8" customHeight="1" x14ac:dyDescent="0.3">
      <c r="D19" s="150" t="s">
        <v>113</v>
      </c>
      <c r="E19" s="150"/>
      <c r="I19" s="127">
        <f>K8</f>
        <v>114400</v>
      </c>
      <c r="J19" s="125"/>
      <c r="K19" s="125" t="s">
        <v>104</v>
      </c>
      <c r="L19" s="125"/>
      <c r="M19" s="150" t="s">
        <v>117</v>
      </c>
      <c r="N19" s="150"/>
      <c r="R19" s="150" t="s">
        <v>115</v>
      </c>
      <c r="S19" s="150"/>
      <c r="W19" s="128"/>
      <c r="X19" s="128"/>
    </row>
    <row r="20" spans="2:24" ht="19.8" customHeight="1" x14ac:dyDescent="0.3">
      <c r="B20" s="126" cm="1">
        <f t="array" ref="B20">SUM(SUMIFS(Pengeluaran!G9:G88, Pengeluaran!C9:C88, {"Sarapan";"Makan_Siang";"Makan_Malam";"Sahur";"Buka_Puasa"}, Pengeluaran!E9:E88, "Digital"))</f>
        <v>109500</v>
      </c>
      <c r="C20" s="126"/>
      <c r="D20" s="125" t="s">
        <v>101</v>
      </c>
      <c r="E20" s="125"/>
      <c r="I20" s="127">
        <f>K10</f>
        <v>71350</v>
      </c>
      <c r="J20" s="125"/>
      <c r="K20" s="125" t="s">
        <v>105</v>
      </c>
      <c r="L20" s="125"/>
      <c r="P20" s="127" cm="1">
        <f t="array" ref="P20">SUM(SUMIFS(Pengeluaran!G9:G88, Pengeluaran!C9:C88, {"Sarapan";"Makan_Siang";"Makan_Malam";"Sahur";"Buka_Puasa"}, Pengeluaran!E9:E88, "Tunai"))</f>
        <v>0</v>
      </c>
      <c r="Q20" s="127"/>
      <c r="R20" s="125" t="s">
        <v>110</v>
      </c>
      <c r="S20" s="125"/>
    </row>
    <row r="21" spans="2:24" ht="19.8" customHeight="1" x14ac:dyDescent="0.3">
      <c r="B21" s="126">
        <f>SUMIF(Pengeluaran!M9:M88, "Digital", Pengeluaran!O9:O88)</f>
        <v>279350</v>
      </c>
      <c r="C21" s="126"/>
      <c r="D21" s="125" t="s">
        <v>102</v>
      </c>
      <c r="E21" s="125"/>
      <c r="I21" s="127">
        <f>K12</f>
        <v>39000</v>
      </c>
      <c r="J21" s="125"/>
      <c r="K21" s="125" t="s">
        <v>106</v>
      </c>
      <c r="L21" s="125"/>
      <c r="P21" s="127">
        <f>SUMIF(Pengeluaran!M9:M88, "Tunai", Pengeluaran!O9:O88)</f>
        <v>39900</v>
      </c>
      <c r="Q21" s="127"/>
      <c r="R21" s="125" t="s">
        <v>111</v>
      </c>
      <c r="S21" s="125"/>
      <c r="W21" s="112" t="s">
        <v>191</v>
      </c>
      <c r="X21" s="113"/>
    </row>
    <row r="22" spans="2:24" ht="19.8" customHeight="1" x14ac:dyDescent="0.3">
      <c r="B22" s="126" cm="1">
        <f t="array" ref="B22">SUM(SUMIFS(Pengeluaran!G9:G88, Pengeluaran!C9:C88, {"Jajan"}, Pengeluaran!E9:E88, "Digital"))</f>
        <v>0</v>
      </c>
      <c r="C22" s="126"/>
      <c r="D22" s="125" t="s">
        <v>194</v>
      </c>
      <c r="E22" s="125"/>
      <c r="I22" s="127">
        <f>K14</f>
        <v>35000</v>
      </c>
      <c r="J22" s="125"/>
      <c r="K22" s="125" t="s">
        <v>107</v>
      </c>
      <c r="L22" s="125"/>
      <c r="P22" s="127" cm="1">
        <f t="array" ref="P22">SUM(SUMIFS(Pengeluaran!G9:G88, Pengeluaran!C9:C88, {"Jajan"}, Pengeluaran!E9:E88, "Tunai"))</f>
        <v>65000</v>
      </c>
      <c r="Q22" s="127"/>
      <c r="R22" s="125" t="s">
        <v>195</v>
      </c>
      <c r="S22" s="125"/>
      <c r="W22" s="114"/>
      <c r="X22" s="115"/>
    </row>
    <row r="23" spans="2:24" ht="19.8" customHeight="1" x14ac:dyDescent="0.3">
      <c r="B23" s="127">
        <f>D12</f>
        <v>1111150</v>
      </c>
      <c r="C23" s="125"/>
      <c r="D23" s="125" t="s">
        <v>103</v>
      </c>
      <c r="E23" s="125"/>
      <c r="I23" s="127">
        <f>K16</f>
        <v>234000</v>
      </c>
      <c r="J23" s="125"/>
      <c r="K23" s="125" t="s">
        <v>108</v>
      </c>
      <c r="L23" s="125"/>
      <c r="P23" s="127">
        <f>R12</f>
        <v>1395100</v>
      </c>
      <c r="Q23" s="125"/>
      <c r="R23" s="125" t="s">
        <v>112</v>
      </c>
      <c r="S23" s="125"/>
      <c r="W23" s="116">
        <f ca="1">SUMIFS(Pengeluaran!G9:G88, Pengeluaran!F9:F88, TODAY(), Pengeluaran!E9:E88, "Digital")
+ SUMIFS(Pengeluaran!O9:O88, Pengeluaran!N9:N88, TODAY(), Pengeluaran!M9:M88, "Digital")</f>
        <v>51000</v>
      </c>
      <c r="X23" s="117"/>
    </row>
    <row r="24" spans="2:24" ht="19.8" customHeight="1" x14ac:dyDescent="0.3">
      <c r="I24" s="127">
        <f>(D9+R9)-SUM(K8:N17)</f>
        <v>2506250</v>
      </c>
      <c r="J24" s="125"/>
      <c r="K24" s="125" t="s">
        <v>109</v>
      </c>
      <c r="L24" s="125"/>
      <c r="W24" s="118"/>
      <c r="X24" s="119"/>
    </row>
    <row r="26" spans="2:24" ht="19.8" customHeight="1" x14ac:dyDescent="0.3">
      <c r="W26" s="112" t="s">
        <v>192</v>
      </c>
      <c r="X26" s="113"/>
    </row>
    <row r="27" spans="2:24" ht="19.8" customHeight="1" x14ac:dyDescent="0.3">
      <c r="W27" s="114"/>
      <c r="X27" s="115"/>
    </row>
    <row r="28" spans="2:24" ht="19.8" customHeight="1" x14ac:dyDescent="0.3">
      <c r="W28" s="116">
        <f ca="1">SUMIFS(Pengeluaran!G9:G88, Pengeluaran!F9:F88, TODAY(), Pengeluaran!E9:E88, "Tunai")
+ SUMIFS(Pengeluaran!O9:O88, Pengeluaran!N9:N88, TODAY(), Pengeluaran!M9:M88, "Tunai")</f>
        <v>0</v>
      </c>
      <c r="X28" s="117"/>
    </row>
    <row r="29" spans="2:24" ht="19.8" customHeight="1" x14ac:dyDescent="0.3">
      <c r="W29" s="118"/>
      <c r="X29" s="119"/>
    </row>
    <row r="31" spans="2:24" ht="19.8" customHeight="1" x14ac:dyDescent="0.3">
      <c r="D31" s="150" t="s">
        <v>114</v>
      </c>
      <c r="E31" s="150"/>
      <c r="I31" s="127">
        <f>K8</f>
        <v>114400</v>
      </c>
      <c r="J31" s="125"/>
      <c r="K31" s="125" t="s">
        <v>104</v>
      </c>
      <c r="L31" s="125"/>
      <c r="M31" s="150" t="s">
        <v>117</v>
      </c>
      <c r="N31" s="150"/>
      <c r="R31" s="150" t="s">
        <v>116</v>
      </c>
      <c r="S31" s="150"/>
      <c r="W31" s="112" t="s">
        <v>205</v>
      </c>
      <c r="X31" s="113"/>
    </row>
    <row r="32" spans="2:24" ht="19.8" customHeight="1" x14ac:dyDescent="0.3">
      <c r="B32" s="127" cm="1">
        <f t="array" ref="B32">SUM(SUMIFS(Pengeluaran!G9:G88, Pengeluaran!C9:C88, {"Sarapan";"Makan_Siang";"Makan_Malam";"Sahur";"Buka_Puasa"}, Pengeluaran!E9:E88, "Digital"))</f>
        <v>109500</v>
      </c>
      <c r="C32" s="127"/>
      <c r="D32" s="125" t="s">
        <v>101</v>
      </c>
      <c r="E32" s="125"/>
      <c r="I32" s="127">
        <f>K10</f>
        <v>71350</v>
      </c>
      <c r="J32" s="125"/>
      <c r="K32" s="125" t="s">
        <v>105</v>
      </c>
      <c r="L32" s="125"/>
      <c r="P32" s="127" cm="1">
        <f t="array" ref="P32">SUM(SUMIFS(Pengeluaran!G9:G88, Pengeluaran!C9:C88, {"Sarapan";"Makan_Siang";"Makan_Malam";"Sahur";"Buka_Puasa"}, Pengeluaran!E9:E88, "Tunai"))</f>
        <v>0</v>
      </c>
      <c r="Q32" s="127"/>
      <c r="R32" s="125" t="s">
        <v>110</v>
      </c>
      <c r="S32" s="125"/>
      <c r="W32" s="114"/>
      <c r="X32" s="115"/>
    </row>
    <row r="33" spans="2:24" ht="19.8" customHeight="1" x14ac:dyDescent="0.3">
      <c r="B33" s="127">
        <f>SUMIF(Pengeluaran!M9:M88, "Digital", Pengeluaran!O9:O88)</f>
        <v>279350</v>
      </c>
      <c r="C33" s="127"/>
      <c r="D33" s="125" t="s">
        <v>102</v>
      </c>
      <c r="E33" s="125"/>
      <c r="I33" s="127">
        <f>K12</f>
        <v>39000</v>
      </c>
      <c r="J33" s="125"/>
      <c r="K33" s="125" t="s">
        <v>106</v>
      </c>
      <c r="L33" s="125"/>
      <c r="P33" s="127">
        <f>SUMIF(Pengeluaran!M9:M88, "Tunai", Pengeluaran!O9:O88)</f>
        <v>39900</v>
      </c>
      <c r="Q33" s="127"/>
      <c r="R33" s="125" t="s">
        <v>111</v>
      </c>
      <c r="S33" s="125"/>
      <c r="W33" s="169">
        <f ca="1">(W23+W28)</f>
        <v>51000</v>
      </c>
      <c r="X33" s="170"/>
    </row>
    <row r="34" spans="2:24" ht="19.8" customHeight="1" x14ac:dyDescent="0.3">
      <c r="B34" s="127" cm="1">
        <f t="array" ref="B34">SUM(SUMIFS(Pengeluaran!G9:G88, Pengeluaran!C9:C88, {"Jajan"}, Pengeluaran!E9:E88, "Digital"))</f>
        <v>0</v>
      </c>
      <c r="C34" s="127"/>
      <c r="D34" s="125" t="s">
        <v>194</v>
      </c>
      <c r="E34" s="125"/>
      <c r="I34" s="127">
        <f>K14</f>
        <v>35000</v>
      </c>
      <c r="J34" s="125"/>
      <c r="K34" s="125" t="s">
        <v>107</v>
      </c>
      <c r="L34" s="125"/>
      <c r="P34" s="127" cm="1">
        <f t="array" ref="P34">SUM(SUMIFS(Pengeluaran!G9:G88, Pengeluaran!C9:C88, {"Jajan"}, Pengeluaran!E9:E88, "Tunai"))</f>
        <v>65000</v>
      </c>
      <c r="Q34" s="127"/>
      <c r="R34" s="125" t="s">
        <v>195</v>
      </c>
      <c r="S34" s="125"/>
      <c r="W34" s="171"/>
      <c r="X34" s="172"/>
    </row>
    <row r="35" spans="2:24" ht="19.8" customHeight="1" x14ac:dyDescent="0.3">
      <c r="B35" s="127">
        <f>D12</f>
        <v>1111150</v>
      </c>
      <c r="C35" s="125"/>
      <c r="D35" s="125" t="s">
        <v>103</v>
      </c>
      <c r="E35" s="125"/>
      <c r="I35" s="127">
        <f>K16</f>
        <v>234000</v>
      </c>
      <c r="J35" s="125"/>
      <c r="K35" s="125" t="s">
        <v>108</v>
      </c>
      <c r="L35" s="125"/>
      <c r="P35" s="127">
        <f>R12</f>
        <v>1395100</v>
      </c>
      <c r="Q35" s="125"/>
      <c r="R35" s="125" t="s">
        <v>112</v>
      </c>
      <c r="S35" s="125"/>
    </row>
    <row r="36" spans="2:24" ht="19.8" customHeight="1" x14ac:dyDescent="0.3">
      <c r="I36" s="127"/>
      <c r="J36" s="125"/>
      <c r="K36" s="125"/>
      <c r="L36" s="125"/>
    </row>
    <row r="44" spans="2:24" ht="19.8" customHeight="1" x14ac:dyDescent="0.3">
      <c r="B44" s="151" t="s">
        <v>38</v>
      </c>
      <c r="C44" s="152"/>
      <c r="D44" s="152"/>
      <c r="E44" s="152"/>
      <c r="F44" s="152"/>
      <c r="G44" s="153"/>
      <c r="I44" s="165" t="s">
        <v>50</v>
      </c>
      <c r="J44" s="165"/>
      <c r="K44" s="165"/>
      <c r="L44" s="165"/>
      <c r="M44" s="165"/>
      <c r="N44" s="165"/>
      <c r="P44" s="165" t="s">
        <v>51</v>
      </c>
      <c r="Q44" s="165"/>
      <c r="R44" s="165"/>
      <c r="S44" s="165"/>
      <c r="T44" s="165"/>
      <c r="U44" s="165"/>
      <c r="V44" s="165"/>
      <c r="W44" s="165"/>
    </row>
    <row r="45" spans="2:24" ht="19.8" customHeight="1" x14ac:dyDescent="0.3">
      <c r="B45" s="154"/>
      <c r="C45" s="155"/>
      <c r="D45" s="155"/>
      <c r="E45" s="155"/>
      <c r="F45" s="155"/>
      <c r="G45" s="156"/>
      <c r="I45" s="165"/>
      <c r="J45" s="165"/>
      <c r="K45" s="165"/>
      <c r="L45" s="165"/>
      <c r="M45" s="165"/>
      <c r="N45" s="165"/>
      <c r="P45" s="165"/>
      <c r="Q45" s="165"/>
      <c r="R45" s="165"/>
      <c r="S45" s="165"/>
      <c r="T45" s="165"/>
      <c r="U45" s="165"/>
      <c r="V45" s="165"/>
      <c r="W45" s="165"/>
    </row>
    <row r="46" spans="2:24" ht="19.8" customHeight="1" x14ac:dyDescent="0.3">
      <c r="B46" s="6"/>
      <c r="C46" s="6"/>
      <c r="D46" s="6"/>
      <c r="E46" s="6"/>
      <c r="F46" s="6"/>
    </row>
    <row r="47" spans="2:24" ht="19.8" customHeight="1" x14ac:dyDescent="0.3">
      <c r="B47" s="166" t="s">
        <v>39</v>
      </c>
      <c r="C47" s="167"/>
      <c r="D47" s="168"/>
      <c r="E47" s="166" t="s">
        <v>40</v>
      </c>
      <c r="F47" s="167"/>
      <c r="G47" s="168"/>
      <c r="I47" s="73" t="s">
        <v>33</v>
      </c>
      <c r="J47" s="75"/>
      <c r="K47" s="116" cm="1">
        <f t="array" ref="K47">SUM(SUMIFS(Pengeluaran!G9:G68, Pengeluaran!C9:C68, {"Sarapan";"Makan_Siang";"Makan_Malam";"Sahur";"Buka_Puasa"}))</f>
        <v>109500</v>
      </c>
      <c r="L47" s="148"/>
      <c r="M47" s="148"/>
      <c r="N47" s="117"/>
      <c r="O47" s="6"/>
      <c r="P47" s="73" t="s">
        <v>33</v>
      </c>
      <c r="Q47" s="75"/>
      <c r="R47" s="116">
        <f>(D9+R9)*V47</f>
        <v>1200000</v>
      </c>
      <c r="S47" s="148"/>
      <c r="T47" s="148"/>
      <c r="U47" s="117"/>
      <c r="V47" s="161">
        <v>0.4</v>
      </c>
      <c r="W47" s="162"/>
    </row>
    <row r="48" spans="2:24" ht="19.8" customHeight="1" x14ac:dyDescent="0.3">
      <c r="B48" s="158">
        <v>45931</v>
      </c>
      <c r="C48" s="159"/>
      <c r="D48" s="160"/>
      <c r="E48" s="158">
        <v>45937</v>
      </c>
      <c r="F48" s="159"/>
      <c r="G48" s="160"/>
      <c r="I48" s="70"/>
      <c r="J48" s="72"/>
      <c r="K48" s="118"/>
      <c r="L48" s="149"/>
      <c r="M48" s="149"/>
      <c r="N48" s="119"/>
      <c r="O48" s="6"/>
      <c r="P48" s="70"/>
      <c r="Q48" s="72"/>
      <c r="R48" s="118"/>
      <c r="S48" s="149"/>
      <c r="T48" s="149"/>
      <c r="U48" s="119"/>
      <c r="V48" s="163"/>
      <c r="W48" s="164"/>
    </row>
    <row r="49" spans="2:23" ht="19.8" customHeight="1" x14ac:dyDescent="0.3">
      <c r="B49" s="158">
        <v>45938</v>
      </c>
      <c r="C49" s="159"/>
      <c r="D49" s="160"/>
      <c r="E49" s="158">
        <v>45944</v>
      </c>
      <c r="F49" s="159"/>
      <c r="G49" s="160"/>
      <c r="I49" s="73" t="s">
        <v>52</v>
      </c>
      <c r="J49" s="75"/>
      <c r="K49" s="116">
        <f>Pengeluaran!P9</f>
        <v>319250</v>
      </c>
      <c r="L49" s="148"/>
      <c r="M49" s="148"/>
      <c r="N49" s="117"/>
      <c r="O49" s="6"/>
      <c r="P49" s="73" t="s">
        <v>52</v>
      </c>
      <c r="Q49" s="75"/>
      <c r="R49" s="116">
        <f>(D9+R9)*V49</f>
        <v>1650000.0000000002</v>
      </c>
      <c r="S49" s="148"/>
      <c r="T49" s="148"/>
      <c r="U49" s="117"/>
      <c r="V49" s="161">
        <v>0.55000000000000004</v>
      </c>
      <c r="W49" s="162"/>
    </row>
    <row r="50" spans="2:23" ht="19.8" customHeight="1" x14ac:dyDescent="0.3">
      <c r="B50" s="158">
        <v>45945</v>
      </c>
      <c r="C50" s="159"/>
      <c r="D50" s="160"/>
      <c r="E50" s="158">
        <v>45951</v>
      </c>
      <c r="F50" s="159"/>
      <c r="G50" s="160"/>
      <c r="I50" s="70"/>
      <c r="J50" s="72"/>
      <c r="K50" s="118"/>
      <c r="L50" s="149"/>
      <c r="M50" s="149"/>
      <c r="N50" s="119"/>
      <c r="O50" s="6"/>
      <c r="P50" s="70"/>
      <c r="Q50" s="72"/>
      <c r="R50" s="118"/>
      <c r="S50" s="149"/>
      <c r="T50" s="149"/>
      <c r="U50" s="119"/>
      <c r="V50" s="163"/>
      <c r="W50" s="164"/>
    </row>
    <row r="51" spans="2:23" ht="19.8" customHeight="1" x14ac:dyDescent="0.3">
      <c r="B51" s="158">
        <v>45952</v>
      </c>
      <c r="C51" s="159"/>
      <c r="D51" s="160"/>
      <c r="E51" s="158">
        <v>45958</v>
      </c>
      <c r="F51" s="159"/>
      <c r="G51" s="160"/>
      <c r="I51" s="73" t="s">
        <v>193</v>
      </c>
      <c r="J51" s="75"/>
      <c r="K51" s="116" cm="1">
        <f t="array" ref="K51">SUM(SUMIFS(Pengeluaran!G9:G68, Pengeluaran!C9:C68, {"Jajan"}))</f>
        <v>65000</v>
      </c>
      <c r="L51" s="148"/>
      <c r="M51" s="148"/>
      <c r="N51" s="117"/>
      <c r="O51" s="6"/>
      <c r="P51" s="73" t="s">
        <v>193</v>
      </c>
      <c r="Q51" s="75"/>
      <c r="R51" s="116">
        <f>(D9+R9)*V51</f>
        <v>150000</v>
      </c>
      <c r="S51" s="148"/>
      <c r="T51" s="148"/>
      <c r="U51" s="117"/>
      <c r="V51" s="161">
        <v>0.05</v>
      </c>
      <c r="W51" s="162"/>
    </row>
    <row r="52" spans="2:23" ht="19.8" customHeight="1" x14ac:dyDescent="0.3">
      <c r="B52" s="158">
        <v>45959</v>
      </c>
      <c r="C52" s="159"/>
      <c r="D52" s="160"/>
      <c r="E52" s="158">
        <v>45961</v>
      </c>
      <c r="F52" s="159"/>
      <c r="G52" s="160"/>
      <c r="I52" s="70"/>
      <c r="J52" s="72"/>
      <c r="K52" s="118"/>
      <c r="L52" s="149"/>
      <c r="M52" s="149"/>
      <c r="N52" s="119"/>
      <c r="O52" s="6"/>
      <c r="P52" s="70"/>
      <c r="Q52" s="72"/>
      <c r="R52" s="118"/>
      <c r="S52" s="149"/>
      <c r="T52" s="149"/>
      <c r="U52" s="119"/>
      <c r="V52" s="163"/>
      <c r="W52" s="164"/>
    </row>
  </sheetData>
  <mergeCells count="130">
    <mergeCell ref="I36:J36"/>
    <mergeCell ref="K36:L36"/>
    <mergeCell ref="V51:W52"/>
    <mergeCell ref="R51:U52"/>
    <mergeCell ref="P51:Q52"/>
    <mergeCell ref="K51:N52"/>
    <mergeCell ref="I51:J52"/>
    <mergeCell ref="W33:X34"/>
    <mergeCell ref="E51:G51"/>
    <mergeCell ref="E52:G52"/>
    <mergeCell ref="P35:Q35"/>
    <mergeCell ref="R35:S35"/>
    <mergeCell ref="B52:D52"/>
    <mergeCell ref="B51:D51"/>
    <mergeCell ref="V49:W50"/>
    <mergeCell ref="V47:W48"/>
    <mergeCell ref="P44:W45"/>
    <mergeCell ref="I49:J50"/>
    <mergeCell ref="K49:N50"/>
    <mergeCell ref="P49:Q50"/>
    <mergeCell ref="R49:U50"/>
    <mergeCell ref="K47:N48"/>
    <mergeCell ref="I47:J48"/>
    <mergeCell ref="R47:U48"/>
    <mergeCell ref="P47:Q48"/>
    <mergeCell ref="B50:D50"/>
    <mergeCell ref="E50:G50"/>
    <mergeCell ref="I44:N45"/>
    <mergeCell ref="B47:D47"/>
    <mergeCell ref="E47:G47"/>
    <mergeCell ref="B48:D48"/>
    <mergeCell ref="E48:G48"/>
    <mergeCell ref="B49:D49"/>
    <mergeCell ref="E49:G49"/>
    <mergeCell ref="I31:J31"/>
    <mergeCell ref="K31:L31"/>
    <mergeCell ref="M31:N31"/>
    <mergeCell ref="I32:J32"/>
    <mergeCell ref="B44:G45"/>
    <mergeCell ref="B2:X4"/>
    <mergeCell ref="R19:S19"/>
    <mergeCell ref="R31:S31"/>
    <mergeCell ref="D31:E31"/>
    <mergeCell ref="D19:E19"/>
    <mergeCell ref="M19:N19"/>
    <mergeCell ref="P20:Q20"/>
    <mergeCell ref="R20:S20"/>
    <mergeCell ref="P21:Q21"/>
    <mergeCell ref="R21:S21"/>
    <mergeCell ref="P23:Q23"/>
    <mergeCell ref="R23:S23"/>
    <mergeCell ref="I19:J19"/>
    <mergeCell ref="K23:L23"/>
    <mergeCell ref="K24:L24"/>
    <mergeCell ref="K22:L22"/>
    <mergeCell ref="I24:J24"/>
    <mergeCell ref="I23:J23"/>
    <mergeCell ref="I22:J22"/>
    <mergeCell ref="B32:C32"/>
    <mergeCell ref="D32:E32"/>
    <mergeCell ref="B33:C33"/>
    <mergeCell ref="D33:E33"/>
    <mergeCell ref="B35:C35"/>
    <mergeCell ref="D35:E35"/>
    <mergeCell ref="P32:Q32"/>
    <mergeCell ref="R32:S32"/>
    <mergeCell ref="P33:Q33"/>
    <mergeCell ref="R33:S33"/>
    <mergeCell ref="B34:C34"/>
    <mergeCell ref="D34:E34"/>
    <mergeCell ref="P34:Q34"/>
    <mergeCell ref="R34:S34"/>
    <mergeCell ref="I33:J33"/>
    <mergeCell ref="K33:L33"/>
    <mergeCell ref="I34:J34"/>
    <mergeCell ref="K34:L34"/>
    <mergeCell ref="I35:J35"/>
    <mergeCell ref="K35:L35"/>
    <mergeCell ref="W8:X9"/>
    <mergeCell ref="W6:X7"/>
    <mergeCell ref="B6:G7"/>
    <mergeCell ref="B9:C10"/>
    <mergeCell ref="D9:G10"/>
    <mergeCell ref="I8:J9"/>
    <mergeCell ref="I10:J11"/>
    <mergeCell ref="I6:N7"/>
    <mergeCell ref="K14:N15"/>
    <mergeCell ref="K12:N13"/>
    <mergeCell ref="K10:N11"/>
    <mergeCell ref="K8:N9"/>
    <mergeCell ref="P6:U7"/>
    <mergeCell ref="D15:G16"/>
    <mergeCell ref="P12:Q13"/>
    <mergeCell ref="P9:Q10"/>
    <mergeCell ref="R15:U16"/>
    <mergeCell ref="R12:U13"/>
    <mergeCell ref="R9:U10"/>
    <mergeCell ref="B15:C16"/>
    <mergeCell ref="B12:C13"/>
    <mergeCell ref="I12:J13"/>
    <mergeCell ref="I14:J15"/>
    <mergeCell ref="I16:J17"/>
    <mergeCell ref="D12:G13"/>
    <mergeCell ref="B22:C22"/>
    <mergeCell ref="D22:E22"/>
    <mergeCell ref="P22:Q22"/>
    <mergeCell ref="R22:S22"/>
    <mergeCell ref="D23:E23"/>
    <mergeCell ref="D21:E21"/>
    <mergeCell ref="D20:E20"/>
    <mergeCell ref="W18:X19"/>
    <mergeCell ref="W16:X17"/>
    <mergeCell ref="W21:X22"/>
    <mergeCell ref="W13:X14"/>
    <mergeCell ref="W11:X12"/>
    <mergeCell ref="B20:C20"/>
    <mergeCell ref="I21:J21"/>
    <mergeCell ref="I20:J20"/>
    <mergeCell ref="B23:C23"/>
    <mergeCell ref="B21:C21"/>
    <mergeCell ref="W31:X32"/>
    <mergeCell ref="W23:X24"/>
    <mergeCell ref="W26:X27"/>
    <mergeCell ref="W28:X29"/>
    <mergeCell ref="K16:N17"/>
    <mergeCell ref="P15:Q16"/>
    <mergeCell ref="K20:L20"/>
    <mergeCell ref="K19:L19"/>
    <mergeCell ref="K21:L21"/>
    <mergeCell ref="K32:L32"/>
  </mergeCells>
  <phoneticPr fontId="10" type="noConversion"/>
  <conditionalFormatting sqref="K47">
    <cfRule type="dataBar" priority="7">
      <dataBar>
        <cfvo type="num" val="0"/>
        <cfvo type="formula" val="($D$9+$R$9)*$V$47"/>
        <color rgb="FFFF0000"/>
      </dataBar>
      <extLst>
        <ext xmlns:x14="http://schemas.microsoft.com/office/spreadsheetml/2009/9/main" uri="{B025F937-C7B1-47D3-B67F-A62EFF666E3E}">
          <x14:id>{49DEE327-4227-480A-9056-CAF53F20A41F}</x14:id>
        </ext>
      </extLst>
    </cfRule>
  </conditionalFormatting>
  <conditionalFormatting sqref="K49">
    <cfRule type="dataBar" priority="5">
      <dataBar>
        <cfvo type="num" val="0"/>
        <cfvo type="formula" val="($D$9+$R$9)*$V$49"/>
        <color rgb="FF00B050"/>
      </dataBar>
      <extLst>
        <ext xmlns:x14="http://schemas.microsoft.com/office/spreadsheetml/2009/9/main" uri="{B025F937-C7B1-47D3-B67F-A62EFF666E3E}">
          <x14:id>{5AFB2C03-E6B1-4FDE-A886-977231F8FFFC}</x14:id>
        </ext>
      </extLst>
    </cfRule>
  </conditionalFormatting>
  <conditionalFormatting sqref="K51">
    <cfRule type="dataBar" priority="6">
      <dataBar>
        <cfvo type="num" val="0"/>
        <cfvo type="formula" val="($D$9+$R$9)*$V$51"/>
        <color rgb="FFFFC000"/>
      </dataBar>
      <extLst>
        <ext xmlns:x14="http://schemas.microsoft.com/office/spreadsheetml/2009/9/main" uri="{B025F937-C7B1-47D3-B67F-A62EFF666E3E}">
          <x14:id>{C6283EBC-75A3-477E-A3B5-26043E0E86FB}</x14:id>
        </ext>
      </extLst>
    </cfRule>
  </conditionalFormatting>
  <conditionalFormatting sqref="W33:X34">
    <cfRule type="cellIs" dxfId="97" priority="1" operator="lessThanOrEqual">
      <formula>W18</formula>
    </cfRule>
    <cfRule type="cellIs" dxfId="96" priority="2" operator="greaterThan">
      <formula>W18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DEE327-4227-480A-9056-CAF53F20A41F}">
            <x14:dataBar minLength="0" maxLength="100" gradient="0">
              <x14:cfvo type="num">
                <xm:f>0</xm:f>
              </x14:cfvo>
              <x14:cfvo type="formula">
                <xm:f>($D$9+$R$9)*$V$47</xm:f>
              </x14:cfvo>
              <x14:negativeFillColor rgb="FFFF0000"/>
              <x14:axisColor rgb="FF000000"/>
            </x14:dataBar>
          </x14:cfRule>
          <xm:sqref>K47</xm:sqref>
        </x14:conditionalFormatting>
        <x14:conditionalFormatting xmlns:xm="http://schemas.microsoft.com/office/excel/2006/main">
          <x14:cfRule type="dataBar" id="{5AFB2C03-E6B1-4FDE-A886-977231F8FFFC}">
            <x14:dataBar minLength="0" maxLength="100" gradient="0">
              <x14:cfvo type="num">
                <xm:f>0</xm:f>
              </x14:cfvo>
              <x14:cfvo type="formula">
                <xm:f>($D$9+$R$9)*$V$49</xm:f>
              </x14:cfvo>
              <x14:negativeFillColor rgb="FFFF0000"/>
              <x14:axisColor rgb="FF000000"/>
            </x14:dataBar>
          </x14:cfRule>
          <xm:sqref>K49</xm:sqref>
        </x14:conditionalFormatting>
        <x14:conditionalFormatting xmlns:xm="http://schemas.microsoft.com/office/excel/2006/main">
          <x14:cfRule type="dataBar" id="{C6283EBC-75A3-477E-A3B5-26043E0E86FB}">
            <x14:dataBar minLength="0" maxLength="100" gradient="0">
              <x14:cfvo type="num">
                <xm:f>0</xm:f>
              </x14:cfvo>
              <x14:cfvo type="formula">
                <xm:f>($D$9+$R$9)*$V$51</xm:f>
              </x14:cfvo>
              <x14:negativeFillColor rgb="FFFF0000"/>
              <x14:axisColor rgb="FF000000"/>
            </x14:dataBar>
          </x14:cfRule>
          <xm:sqref>K51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DCEF-0E0B-40A0-A655-44B0E6975E25}">
  <dimension ref="B2:Q88"/>
  <sheetViews>
    <sheetView zoomScale="90" zoomScaleNormal="90" workbookViewId="0">
      <selection activeCell="H18" sqref="H18"/>
    </sheetView>
  </sheetViews>
  <sheetFormatPr defaultRowHeight="14.4" customHeight="1" x14ac:dyDescent="0.3"/>
  <cols>
    <col min="1" max="1" width="3.77734375" customWidth="1"/>
    <col min="2" max="2" width="5.6640625" customWidth="1"/>
    <col min="3" max="4" width="20.5546875" customWidth="1"/>
    <col min="5" max="6" width="12.77734375" customWidth="1"/>
    <col min="7" max="7" width="15.5546875" customWidth="1"/>
    <col min="8" max="8" width="17.5546875" customWidth="1"/>
    <col min="9" max="9" width="3.77734375" customWidth="1"/>
    <col min="10" max="10" width="5.6640625" customWidth="1"/>
    <col min="11" max="12" width="20.5546875" customWidth="1"/>
    <col min="13" max="14" width="12.77734375" customWidth="1"/>
    <col min="15" max="15" width="15.5546875" customWidth="1"/>
    <col min="16" max="16" width="17.5546875" customWidth="1"/>
  </cols>
  <sheetData>
    <row r="2" spans="2:17" ht="14.4" customHeight="1" x14ac:dyDescent="0.3">
      <c r="B2" s="58" t="s">
        <v>32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60"/>
    </row>
    <row r="3" spans="2:17" ht="14.4" customHeight="1" x14ac:dyDescent="0.3">
      <c r="B3" s="61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3"/>
    </row>
    <row r="4" spans="2:17" ht="14.4" customHeight="1" x14ac:dyDescent="0.3">
      <c r="B4" s="64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6"/>
    </row>
    <row r="6" spans="2:17" ht="14.4" customHeight="1" x14ac:dyDescent="0.3">
      <c r="B6" s="165" t="s">
        <v>33</v>
      </c>
      <c r="C6" s="165"/>
      <c r="D6" s="165"/>
      <c r="E6" s="165"/>
      <c r="F6" s="165"/>
      <c r="G6" s="165"/>
      <c r="H6" s="165"/>
      <c r="J6" s="165" t="s">
        <v>35</v>
      </c>
      <c r="K6" s="165"/>
      <c r="L6" s="165"/>
      <c r="M6" s="165"/>
      <c r="N6" s="165"/>
      <c r="O6" s="165"/>
      <c r="P6" s="165"/>
    </row>
    <row r="7" spans="2:17" ht="14.4" customHeight="1" x14ac:dyDescent="0.3">
      <c r="B7" s="165"/>
      <c r="C7" s="165"/>
      <c r="D7" s="165"/>
      <c r="E7" s="165"/>
      <c r="F7" s="165"/>
      <c r="G7" s="165"/>
      <c r="H7" s="165"/>
      <c r="J7" s="165"/>
      <c r="K7" s="165"/>
      <c r="L7" s="165"/>
      <c r="M7" s="165"/>
      <c r="N7" s="165"/>
      <c r="O7" s="165"/>
      <c r="P7" s="165"/>
    </row>
    <row r="8" spans="2:17" ht="14.4" customHeight="1" x14ac:dyDescent="0.3">
      <c r="B8" s="7" t="s">
        <v>0</v>
      </c>
      <c r="C8" s="7" t="s">
        <v>1</v>
      </c>
      <c r="D8" s="7" t="s">
        <v>2</v>
      </c>
      <c r="E8" s="7" t="s">
        <v>34</v>
      </c>
      <c r="F8" s="7" t="s">
        <v>3</v>
      </c>
      <c r="G8" s="7" t="s">
        <v>4</v>
      </c>
      <c r="H8" s="7" t="s">
        <v>5</v>
      </c>
      <c r="J8" s="7" t="s">
        <v>0</v>
      </c>
      <c r="K8" s="7" t="s">
        <v>1</v>
      </c>
      <c r="L8" s="7" t="s">
        <v>2</v>
      </c>
      <c r="M8" s="7" t="s">
        <v>34</v>
      </c>
      <c r="N8" s="7" t="s">
        <v>3</v>
      </c>
      <c r="O8" s="7" t="s">
        <v>4</v>
      </c>
      <c r="P8" s="7" t="s">
        <v>5</v>
      </c>
    </row>
    <row r="9" spans="2:17" ht="14.4" customHeight="1" x14ac:dyDescent="0.3">
      <c r="B9" s="1">
        <v>1</v>
      </c>
      <c r="C9" s="7" t="s">
        <v>6</v>
      </c>
      <c r="D9" s="7" t="s">
        <v>18</v>
      </c>
      <c r="E9" s="21" t="s">
        <v>43</v>
      </c>
      <c r="F9" s="13">
        <v>45931</v>
      </c>
      <c r="G9" s="14">
        <v>16500</v>
      </c>
      <c r="H9" s="14">
        <f>SUM(G9:G68)</f>
        <v>174500</v>
      </c>
      <c r="J9" s="2">
        <v>1</v>
      </c>
      <c r="K9" s="7" t="s">
        <v>15</v>
      </c>
      <c r="L9" s="8" t="s">
        <v>92</v>
      </c>
      <c r="M9" s="8" t="s">
        <v>43</v>
      </c>
      <c r="N9" s="12">
        <v>45937</v>
      </c>
      <c r="O9" s="11">
        <v>51000</v>
      </c>
      <c r="P9" s="11">
        <f>SUM(O9:O60)</f>
        <v>319250</v>
      </c>
    </row>
    <row r="10" spans="2:17" ht="14.4" customHeight="1" x14ac:dyDescent="0.3">
      <c r="B10" s="1">
        <v>2</v>
      </c>
      <c r="C10" s="7" t="s">
        <v>196</v>
      </c>
      <c r="D10" s="7" t="s">
        <v>18</v>
      </c>
      <c r="E10" s="7" t="s">
        <v>43</v>
      </c>
      <c r="F10" s="13">
        <v>45938</v>
      </c>
      <c r="G10" s="14">
        <v>17000</v>
      </c>
      <c r="H10" s="15"/>
      <c r="J10" s="2">
        <v>2</v>
      </c>
      <c r="K10" s="7" t="s">
        <v>16</v>
      </c>
      <c r="L10" s="8" t="s">
        <v>21</v>
      </c>
      <c r="M10" s="8" t="s">
        <v>43</v>
      </c>
      <c r="N10" s="12">
        <v>45944</v>
      </c>
      <c r="O10" s="11">
        <v>54350</v>
      </c>
      <c r="P10" s="10"/>
    </row>
    <row r="11" spans="2:17" ht="14.4" customHeight="1" x14ac:dyDescent="0.3">
      <c r="B11" s="1">
        <v>3</v>
      </c>
      <c r="C11" s="7" t="s">
        <v>197</v>
      </c>
      <c r="D11" s="7" t="s">
        <v>24</v>
      </c>
      <c r="E11" s="7" t="s">
        <v>43</v>
      </c>
      <c r="F11" s="13">
        <v>45945</v>
      </c>
      <c r="G11" s="14">
        <v>16000</v>
      </c>
      <c r="H11" s="18"/>
      <c r="J11" s="2">
        <v>3</v>
      </c>
      <c r="K11" s="7" t="s">
        <v>66</v>
      </c>
      <c r="L11" s="8" t="s">
        <v>67</v>
      </c>
      <c r="M11" s="8" t="s">
        <v>45</v>
      </c>
      <c r="N11" s="12">
        <v>45951</v>
      </c>
      <c r="O11" s="11">
        <v>23000</v>
      </c>
      <c r="P11" s="10"/>
    </row>
    <row r="12" spans="2:17" ht="14.4" customHeight="1" x14ac:dyDescent="0.3">
      <c r="B12" s="1">
        <v>4</v>
      </c>
      <c r="C12" s="7" t="s">
        <v>71</v>
      </c>
      <c r="D12" s="7" t="s">
        <v>100</v>
      </c>
      <c r="E12" s="7" t="s">
        <v>43</v>
      </c>
      <c r="F12" s="13">
        <v>45952</v>
      </c>
      <c r="G12" s="19">
        <v>30000</v>
      </c>
      <c r="H12" s="20"/>
      <c r="J12" s="2">
        <v>4</v>
      </c>
      <c r="K12" s="7" t="s">
        <v>77</v>
      </c>
      <c r="L12" s="8" t="s">
        <v>82</v>
      </c>
      <c r="M12" s="8" t="s">
        <v>43</v>
      </c>
      <c r="N12" s="12">
        <v>45958</v>
      </c>
      <c r="O12" s="11">
        <v>5000</v>
      </c>
      <c r="P12" s="10"/>
    </row>
    <row r="13" spans="2:17" ht="14.4" customHeight="1" x14ac:dyDescent="0.3">
      <c r="B13" s="1">
        <v>5</v>
      </c>
      <c r="C13" s="7" t="s">
        <v>193</v>
      </c>
      <c r="D13" s="7" t="s">
        <v>94</v>
      </c>
      <c r="E13" s="7" t="s">
        <v>45</v>
      </c>
      <c r="F13" s="13">
        <v>45959</v>
      </c>
      <c r="G13" s="14">
        <v>65000</v>
      </c>
      <c r="H13" s="15"/>
      <c r="J13" s="2">
        <v>5</v>
      </c>
      <c r="K13" s="7" t="s">
        <v>199</v>
      </c>
      <c r="L13" s="8" t="s">
        <v>81</v>
      </c>
      <c r="M13" s="8" t="s">
        <v>43</v>
      </c>
      <c r="N13" s="12">
        <v>45961</v>
      </c>
      <c r="O13" s="11">
        <v>169000</v>
      </c>
      <c r="P13" s="10"/>
    </row>
    <row r="14" spans="2:17" ht="14.4" customHeight="1" x14ac:dyDescent="0.3">
      <c r="B14" s="1">
        <v>6</v>
      </c>
      <c r="C14" s="7" t="s">
        <v>198</v>
      </c>
      <c r="D14" s="7" t="s">
        <v>66</v>
      </c>
      <c r="E14" s="7" t="s">
        <v>43</v>
      </c>
      <c r="F14" s="13">
        <v>45934</v>
      </c>
      <c r="G14" s="14">
        <v>30000</v>
      </c>
      <c r="H14" s="15"/>
      <c r="J14" s="2">
        <v>6</v>
      </c>
      <c r="K14" s="7" t="s">
        <v>10</v>
      </c>
      <c r="L14" s="8" t="s">
        <v>20</v>
      </c>
      <c r="M14" s="8" t="s">
        <v>45</v>
      </c>
      <c r="N14" s="13">
        <v>45934</v>
      </c>
      <c r="O14" s="11">
        <v>16900</v>
      </c>
      <c r="Q14" s="2" t="s">
        <v>140</v>
      </c>
    </row>
    <row r="15" spans="2:17" ht="14.4" customHeight="1" x14ac:dyDescent="0.3">
      <c r="B15" s="1">
        <v>7</v>
      </c>
      <c r="C15" s="7" t="s">
        <v>202</v>
      </c>
      <c r="D15" s="7" t="s">
        <v>9</v>
      </c>
      <c r="E15" s="7" t="s">
        <v>9</v>
      </c>
      <c r="F15" s="1"/>
      <c r="G15" s="14"/>
      <c r="H15" s="15"/>
      <c r="J15" s="2">
        <v>7</v>
      </c>
      <c r="K15" s="7" t="s">
        <v>202</v>
      </c>
      <c r="L15" s="8" t="s">
        <v>9</v>
      </c>
      <c r="M15" s="8" t="s">
        <v>9</v>
      </c>
      <c r="N15" s="2"/>
      <c r="O15" s="11"/>
      <c r="P15" s="10"/>
    </row>
    <row r="16" spans="2:17" ht="14.4" customHeight="1" x14ac:dyDescent="0.3">
      <c r="B16" s="1">
        <v>8</v>
      </c>
      <c r="C16" s="7" t="s">
        <v>202</v>
      </c>
      <c r="D16" s="7" t="s">
        <v>9</v>
      </c>
      <c r="E16" s="7" t="s">
        <v>9</v>
      </c>
      <c r="F16" s="1"/>
      <c r="G16" s="14"/>
      <c r="H16" s="15"/>
      <c r="J16" s="2">
        <v>8</v>
      </c>
      <c r="K16" s="7" t="s">
        <v>202</v>
      </c>
      <c r="L16" s="8" t="s">
        <v>9</v>
      </c>
      <c r="M16" s="8" t="s">
        <v>9</v>
      </c>
      <c r="N16" s="2"/>
      <c r="O16" s="11"/>
      <c r="P16" s="10"/>
    </row>
    <row r="17" spans="2:16" ht="14.4" customHeight="1" x14ac:dyDescent="0.3">
      <c r="B17" s="1">
        <v>9</v>
      </c>
      <c r="C17" s="7" t="s">
        <v>202</v>
      </c>
      <c r="D17" s="7" t="s">
        <v>9</v>
      </c>
      <c r="E17" s="7" t="s">
        <v>9</v>
      </c>
      <c r="F17" s="1"/>
      <c r="G17" s="14"/>
      <c r="H17" s="15"/>
      <c r="J17" s="2">
        <v>9</v>
      </c>
      <c r="K17" s="7" t="s">
        <v>202</v>
      </c>
      <c r="L17" s="8" t="s">
        <v>9</v>
      </c>
      <c r="M17" s="8" t="s">
        <v>9</v>
      </c>
      <c r="N17" s="2"/>
      <c r="O17" s="11"/>
      <c r="P17" s="10"/>
    </row>
    <row r="18" spans="2:16" ht="14.4" customHeight="1" x14ac:dyDescent="0.3">
      <c r="B18" s="1">
        <v>10</v>
      </c>
      <c r="C18" s="7" t="s">
        <v>202</v>
      </c>
      <c r="D18" s="7" t="s">
        <v>9</v>
      </c>
      <c r="E18" s="7" t="s">
        <v>9</v>
      </c>
      <c r="F18" s="1"/>
      <c r="G18" s="14"/>
      <c r="H18" s="15"/>
      <c r="J18" s="2">
        <v>10</v>
      </c>
      <c r="K18" s="7" t="s">
        <v>202</v>
      </c>
      <c r="L18" s="8" t="s">
        <v>9</v>
      </c>
      <c r="M18" s="8" t="s">
        <v>9</v>
      </c>
      <c r="N18" s="2"/>
      <c r="O18" s="11"/>
      <c r="P18" s="10"/>
    </row>
    <row r="19" spans="2:16" ht="14.4" customHeight="1" x14ac:dyDescent="0.3">
      <c r="B19" s="1">
        <v>11</v>
      </c>
      <c r="C19" s="7" t="s">
        <v>202</v>
      </c>
      <c r="D19" s="7" t="s">
        <v>9</v>
      </c>
      <c r="E19" s="7" t="s">
        <v>9</v>
      </c>
      <c r="F19" s="1"/>
      <c r="G19" s="14"/>
      <c r="H19" s="15"/>
      <c r="J19" s="2">
        <v>11</v>
      </c>
      <c r="K19" s="7" t="s">
        <v>202</v>
      </c>
      <c r="L19" s="8" t="s">
        <v>9</v>
      </c>
      <c r="M19" s="8" t="s">
        <v>9</v>
      </c>
      <c r="N19" s="2"/>
      <c r="O19" s="11"/>
      <c r="P19" s="10"/>
    </row>
    <row r="20" spans="2:16" ht="14.4" customHeight="1" x14ac:dyDescent="0.3">
      <c r="B20" s="1">
        <v>12</v>
      </c>
      <c r="C20" s="7" t="s">
        <v>202</v>
      </c>
      <c r="D20" s="7" t="s">
        <v>9</v>
      </c>
      <c r="E20" s="7" t="s">
        <v>9</v>
      </c>
      <c r="F20" s="1"/>
      <c r="G20" s="14"/>
      <c r="H20" s="15"/>
      <c r="J20" s="2">
        <v>12</v>
      </c>
      <c r="K20" s="7" t="s">
        <v>202</v>
      </c>
      <c r="L20" s="8" t="s">
        <v>9</v>
      </c>
      <c r="M20" s="8" t="s">
        <v>9</v>
      </c>
      <c r="N20" s="2"/>
      <c r="O20" s="11"/>
      <c r="P20" s="10"/>
    </row>
    <row r="21" spans="2:16" ht="14.4" customHeight="1" x14ac:dyDescent="0.3">
      <c r="B21" s="1">
        <v>13</v>
      </c>
      <c r="C21" s="7" t="s">
        <v>202</v>
      </c>
      <c r="D21" s="7" t="s">
        <v>9</v>
      </c>
      <c r="E21" s="7" t="s">
        <v>9</v>
      </c>
      <c r="F21" s="1"/>
      <c r="G21" s="14"/>
      <c r="H21" s="15"/>
      <c r="J21" s="2">
        <v>13</v>
      </c>
      <c r="K21" s="7" t="s">
        <v>202</v>
      </c>
      <c r="L21" s="8" t="s">
        <v>9</v>
      </c>
      <c r="M21" s="8" t="s">
        <v>9</v>
      </c>
      <c r="N21" s="2"/>
      <c r="O21" s="11"/>
      <c r="P21" s="10"/>
    </row>
    <row r="22" spans="2:16" ht="14.4" customHeight="1" x14ac:dyDescent="0.3">
      <c r="B22" s="1">
        <v>14</v>
      </c>
      <c r="C22" s="7" t="s">
        <v>202</v>
      </c>
      <c r="D22" s="7" t="s">
        <v>9</v>
      </c>
      <c r="E22" s="7" t="s">
        <v>9</v>
      </c>
      <c r="F22" s="1"/>
      <c r="G22" s="14"/>
      <c r="H22" s="15"/>
      <c r="J22" s="2">
        <v>14</v>
      </c>
      <c r="K22" s="7" t="s">
        <v>202</v>
      </c>
      <c r="L22" s="8" t="s">
        <v>9</v>
      </c>
      <c r="M22" s="8" t="s">
        <v>9</v>
      </c>
      <c r="N22" s="2"/>
      <c r="O22" s="11"/>
      <c r="P22" s="10"/>
    </row>
    <row r="23" spans="2:16" ht="14.4" customHeight="1" x14ac:dyDescent="0.3">
      <c r="B23" s="1">
        <v>15</v>
      </c>
      <c r="C23" s="7" t="s">
        <v>202</v>
      </c>
      <c r="D23" s="7" t="s">
        <v>9</v>
      </c>
      <c r="E23" s="7" t="s">
        <v>9</v>
      </c>
      <c r="F23" s="1"/>
      <c r="G23" s="14"/>
      <c r="H23" s="15"/>
      <c r="J23" s="2">
        <v>15</v>
      </c>
      <c r="K23" s="7" t="s">
        <v>202</v>
      </c>
      <c r="L23" s="8" t="s">
        <v>9</v>
      </c>
      <c r="M23" s="8" t="s">
        <v>9</v>
      </c>
      <c r="N23" s="2"/>
      <c r="O23" s="11"/>
      <c r="P23" s="10"/>
    </row>
    <row r="24" spans="2:16" ht="14.4" customHeight="1" x14ac:dyDescent="0.3">
      <c r="B24" s="1">
        <v>16</v>
      </c>
      <c r="C24" s="7" t="s">
        <v>202</v>
      </c>
      <c r="D24" s="7" t="s">
        <v>9</v>
      </c>
      <c r="E24" s="7" t="s">
        <v>9</v>
      </c>
      <c r="F24" s="1"/>
      <c r="G24" s="14"/>
      <c r="H24" s="15"/>
      <c r="J24" s="2">
        <v>16</v>
      </c>
      <c r="K24" s="7" t="s">
        <v>202</v>
      </c>
      <c r="L24" s="8" t="s">
        <v>9</v>
      </c>
      <c r="M24" s="8" t="s">
        <v>9</v>
      </c>
      <c r="N24" s="2"/>
      <c r="O24" s="11"/>
      <c r="P24" s="10"/>
    </row>
    <row r="25" spans="2:16" ht="14.4" customHeight="1" x14ac:dyDescent="0.3">
      <c r="B25" s="1">
        <v>17</v>
      </c>
      <c r="C25" s="7" t="s">
        <v>202</v>
      </c>
      <c r="D25" s="7" t="s">
        <v>9</v>
      </c>
      <c r="E25" s="7" t="s">
        <v>9</v>
      </c>
      <c r="F25" s="1"/>
      <c r="G25" s="14"/>
      <c r="H25" s="15"/>
      <c r="J25" s="2">
        <v>17</v>
      </c>
      <c r="K25" s="7" t="s">
        <v>202</v>
      </c>
      <c r="L25" s="8" t="s">
        <v>9</v>
      </c>
      <c r="M25" s="8" t="s">
        <v>9</v>
      </c>
      <c r="N25" s="2"/>
      <c r="O25" s="11"/>
      <c r="P25" s="10"/>
    </row>
    <row r="26" spans="2:16" ht="14.4" customHeight="1" x14ac:dyDescent="0.3">
      <c r="B26" s="1">
        <v>18</v>
      </c>
      <c r="C26" s="7" t="s">
        <v>202</v>
      </c>
      <c r="D26" s="7" t="s">
        <v>9</v>
      </c>
      <c r="E26" s="7" t="s">
        <v>9</v>
      </c>
      <c r="F26" s="1"/>
      <c r="G26" s="14"/>
      <c r="H26" s="15"/>
      <c r="J26" s="2">
        <v>18</v>
      </c>
      <c r="K26" s="7" t="s">
        <v>202</v>
      </c>
      <c r="L26" s="8" t="s">
        <v>9</v>
      </c>
      <c r="M26" s="8" t="s">
        <v>9</v>
      </c>
      <c r="N26" s="2"/>
      <c r="O26" s="11"/>
      <c r="P26" s="10"/>
    </row>
    <row r="27" spans="2:16" ht="14.4" customHeight="1" x14ac:dyDescent="0.3">
      <c r="B27" s="1">
        <v>19</v>
      </c>
      <c r="C27" s="7" t="s">
        <v>202</v>
      </c>
      <c r="D27" s="7" t="s">
        <v>9</v>
      </c>
      <c r="E27" s="7" t="s">
        <v>9</v>
      </c>
      <c r="F27" s="1"/>
      <c r="G27" s="14"/>
      <c r="H27" s="15"/>
      <c r="J27" s="2">
        <v>19</v>
      </c>
      <c r="K27" s="7" t="s">
        <v>202</v>
      </c>
      <c r="L27" s="8" t="s">
        <v>9</v>
      </c>
      <c r="M27" s="8" t="s">
        <v>9</v>
      </c>
      <c r="N27" s="2"/>
      <c r="O27" s="11"/>
      <c r="P27" s="10"/>
    </row>
    <row r="28" spans="2:16" ht="14.4" customHeight="1" x14ac:dyDescent="0.3">
      <c r="B28" s="1">
        <v>20</v>
      </c>
      <c r="C28" s="7" t="s">
        <v>202</v>
      </c>
      <c r="D28" s="7" t="s">
        <v>9</v>
      </c>
      <c r="E28" s="7" t="s">
        <v>9</v>
      </c>
      <c r="F28" s="1"/>
      <c r="G28" s="14"/>
      <c r="H28" s="15"/>
      <c r="J28" s="2">
        <v>20</v>
      </c>
      <c r="K28" s="7" t="s">
        <v>202</v>
      </c>
      <c r="L28" s="8" t="s">
        <v>9</v>
      </c>
      <c r="M28" s="8" t="s">
        <v>9</v>
      </c>
      <c r="N28" s="2"/>
      <c r="O28" s="11"/>
      <c r="P28" s="10"/>
    </row>
    <row r="29" spans="2:16" ht="14.4" customHeight="1" x14ac:dyDescent="0.3">
      <c r="B29" s="1">
        <v>21</v>
      </c>
      <c r="C29" s="7" t="s">
        <v>202</v>
      </c>
      <c r="D29" s="7" t="s">
        <v>9</v>
      </c>
      <c r="E29" s="7" t="s">
        <v>9</v>
      </c>
      <c r="F29" s="1"/>
      <c r="G29" s="14"/>
      <c r="H29" s="15"/>
      <c r="J29" s="2">
        <v>21</v>
      </c>
      <c r="K29" s="7" t="s">
        <v>202</v>
      </c>
      <c r="L29" s="8" t="s">
        <v>9</v>
      </c>
      <c r="M29" s="8" t="s">
        <v>9</v>
      </c>
      <c r="N29" s="2"/>
      <c r="O29" s="11"/>
      <c r="P29" s="10"/>
    </row>
    <row r="30" spans="2:16" ht="14.4" customHeight="1" x14ac:dyDescent="0.3">
      <c r="B30" s="1">
        <v>22</v>
      </c>
      <c r="C30" s="7" t="s">
        <v>202</v>
      </c>
      <c r="D30" s="7" t="s">
        <v>9</v>
      </c>
      <c r="E30" s="7" t="s">
        <v>9</v>
      </c>
      <c r="F30" s="1"/>
      <c r="G30" s="14"/>
      <c r="H30" s="15"/>
      <c r="J30" s="2">
        <v>22</v>
      </c>
      <c r="K30" s="7" t="s">
        <v>202</v>
      </c>
      <c r="L30" s="8" t="s">
        <v>9</v>
      </c>
      <c r="M30" s="8" t="s">
        <v>9</v>
      </c>
      <c r="N30" s="2"/>
      <c r="O30" s="11"/>
      <c r="P30" s="10"/>
    </row>
    <row r="31" spans="2:16" ht="14.4" customHeight="1" x14ac:dyDescent="0.3">
      <c r="B31" s="1">
        <v>23</v>
      </c>
      <c r="C31" s="7" t="s">
        <v>202</v>
      </c>
      <c r="D31" s="7" t="s">
        <v>9</v>
      </c>
      <c r="E31" s="7" t="s">
        <v>9</v>
      </c>
      <c r="F31" s="1"/>
      <c r="G31" s="14"/>
      <c r="H31" s="15"/>
      <c r="J31" s="2">
        <v>23</v>
      </c>
      <c r="K31" s="7" t="s">
        <v>202</v>
      </c>
      <c r="L31" s="8" t="s">
        <v>9</v>
      </c>
      <c r="M31" s="8" t="s">
        <v>9</v>
      </c>
      <c r="N31" s="2"/>
      <c r="O31" s="11"/>
      <c r="P31" s="10"/>
    </row>
    <row r="32" spans="2:16" ht="14.4" customHeight="1" x14ac:dyDescent="0.3">
      <c r="B32" s="1">
        <v>24</v>
      </c>
      <c r="C32" s="7" t="s">
        <v>202</v>
      </c>
      <c r="D32" s="7" t="s">
        <v>9</v>
      </c>
      <c r="E32" s="7" t="s">
        <v>9</v>
      </c>
      <c r="F32" s="1"/>
      <c r="G32" s="14"/>
      <c r="H32" s="15"/>
      <c r="J32" s="2">
        <v>24</v>
      </c>
      <c r="K32" s="7" t="s">
        <v>202</v>
      </c>
      <c r="L32" s="8" t="s">
        <v>9</v>
      </c>
      <c r="M32" s="8" t="s">
        <v>9</v>
      </c>
      <c r="N32" s="2"/>
      <c r="O32" s="11"/>
      <c r="P32" s="10"/>
    </row>
    <row r="33" spans="2:16" ht="14.4" customHeight="1" x14ac:dyDescent="0.3">
      <c r="B33" s="1">
        <v>25</v>
      </c>
      <c r="C33" s="7" t="s">
        <v>202</v>
      </c>
      <c r="D33" s="7" t="s">
        <v>9</v>
      </c>
      <c r="E33" s="7" t="s">
        <v>9</v>
      </c>
      <c r="F33" s="1"/>
      <c r="G33" s="14"/>
      <c r="H33" s="15"/>
      <c r="J33" s="2">
        <v>25</v>
      </c>
      <c r="K33" s="7" t="s">
        <v>202</v>
      </c>
      <c r="L33" s="8" t="s">
        <v>9</v>
      </c>
      <c r="M33" s="8" t="s">
        <v>9</v>
      </c>
      <c r="N33" s="2"/>
      <c r="O33" s="11"/>
      <c r="P33" s="10"/>
    </row>
    <row r="34" spans="2:16" ht="14.4" customHeight="1" x14ac:dyDescent="0.3">
      <c r="B34" s="1">
        <v>26</v>
      </c>
      <c r="C34" s="7" t="s">
        <v>202</v>
      </c>
      <c r="D34" s="7" t="s">
        <v>9</v>
      </c>
      <c r="E34" s="7" t="s">
        <v>9</v>
      </c>
      <c r="F34" s="1"/>
      <c r="G34" s="14"/>
      <c r="H34" s="15"/>
      <c r="J34" s="2">
        <v>26</v>
      </c>
      <c r="K34" s="7" t="s">
        <v>202</v>
      </c>
      <c r="L34" s="8" t="s">
        <v>9</v>
      </c>
      <c r="M34" s="8" t="s">
        <v>9</v>
      </c>
      <c r="N34" s="2"/>
      <c r="O34" s="11"/>
      <c r="P34" s="10"/>
    </row>
    <row r="35" spans="2:16" ht="14.4" customHeight="1" x14ac:dyDescent="0.3">
      <c r="B35" s="1">
        <v>27</v>
      </c>
      <c r="C35" s="7" t="s">
        <v>202</v>
      </c>
      <c r="D35" s="7" t="s">
        <v>9</v>
      </c>
      <c r="E35" s="7" t="s">
        <v>9</v>
      </c>
      <c r="F35" s="1"/>
      <c r="G35" s="14"/>
      <c r="H35" s="15"/>
      <c r="J35" s="2">
        <v>27</v>
      </c>
      <c r="K35" s="7" t="s">
        <v>202</v>
      </c>
      <c r="L35" s="8" t="s">
        <v>9</v>
      </c>
      <c r="M35" s="8" t="s">
        <v>9</v>
      </c>
      <c r="N35" s="2"/>
      <c r="O35" s="11"/>
      <c r="P35" s="10"/>
    </row>
    <row r="36" spans="2:16" ht="14.4" customHeight="1" x14ac:dyDescent="0.3">
      <c r="B36" s="1">
        <v>28</v>
      </c>
      <c r="C36" s="7" t="s">
        <v>202</v>
      </c>
      <c r="D36" s="7" t="s">
        <v>9</v>
      </c>
      <c r="E36" s="7" t="s">
        <v>9</v>
      </c>
      <c r="F36" s="1"/>
      <c r="G36" s="14"/>
      <c r="H36" s="15"/>
      <c r="J36" s="2">
        <v>28</v>
      </c>
      <c r="K36" s="7" t="s">
        <v>202</v>
      </c>
      <c r="L36" s="8" t="s">
        <v>9</v>
      </c>
      <c r="M36" s="8" t="s">
        <v>9</v>
      </c>
      <c r="N36" s="2"/>
      <c r="O36" s="11"/>
      <c r="P36" s="10"/>
    </row>
    <row r="37" spans="2:16" ht="14.4" customHeight="1" x14ac:dyDescent="0.3">
      <c r="B37" s="1">
        <v>29</v>
      </c>
      <c r="C37" s="7" t="s">
        <v>202</v>
      </c>
      <c r="D37" s="7" t="s">
        <v>9</v>
      </c>
      <c r="E37" s="7" t="s">
        <v>9</v>
      </c>
      <c r="F37" s="1"/>
      <c r="G37" s="14"/>
      <c r="H37" s="15"/>
      <c r="J37" s="2">
        <v>29</v>
      </c>
      <c r="K37" s="7" t="s">
        <v>202</v>
      </c>
      <c r="L37" s="8" t="s">
        <v>9</v>
      </c>
      <c r="M37" s="8" t="s">
        <v>9</v>
      </c>
      <c r="N37" s="2"/>
      <c r="O37" s="11"/>
      <c r="P37" s="10"/>
    </row>
    <row r="38" spans="2:16" ht="14.4" customHeight="1" x14ac:dyDescent="0.3">
      <c r="B38" s="1">
        <v>30</v>
      </c>
      <c r="C38" s="7" t="s">
        <v>202</v>
      </c>
      <c r="D38" s="7" t="s">
        <v>9</v>
      </c>
      <c r="E38" s="7" t="s">
        <v>9</v>
      </c>
      <c r="F38" s="1"/>
      <c r="G38" s="14"/>
      <c r="H38" s="15"/>
      <c r="J38" s="2">
        <v>30</v>
      </c>
      <c r="K38" s="7" t="s">
        <v>202</v>
      </c>
      <c r="L38" s="8" t="s">
        <v>9</v>
      </c>
      <c r="M38" s="8" t="s">
        <v>9</v>
      </c>
      <c r="N38" s="2"/>
      <c r="O38" s="11"/>
      <c r="P38" s="10"/>
    </row>
    <row r="39" spans="2:16" ht="14.4" customHeight="1" x14ac:dyDescent="0.3">
      <c r="B39" s="1">
        <v>31</v>
      </c>
      <c r="C39" s="7" t="s">
        <v>202</v>
      </c>
      <c r="D39" s="7" t="s">
        <v>9</v>
      </c>
      <c r="E39" s="7" t="s">
        <v>9</v>
      </c>
      <c r="F39" s="1"/>
      <c r="G39" s="14"/>
      <c r="H39" s="15"/>
      <c r="J39" s="2">
        <v>31</v>
      </c>
      <c r="K39" s="7" t="s">
        <v>202</v>
      </c>
      <c r="L39" s="8" t="s">
        <v>9</v>
      </c>
      <c r="M39" s="8" t="s">
        <v>9</v>
      </c>
      <c r="N39" s="2"/>
      <c r="O39" s="11"/>
      <c r="P39" s="10"/>
    </row>
    <row r="40" spans="2:16" ht="14.4" customHeight="1" x14ac:dyDescent="0.3">
      <c r="B40" s="1">
        <v>32</v>
      </c>
      <c r="C40" s="7" t="s">
        <v>202</v>
      </c>
      <c r="D40" s="7" t="s">
        <v>9</v>
      </c>
      <c r="E40" s="7" t="s">
        <v>9</v>
      </c>
      <c r="F40" s="1"/>
      <c r="G40" s="14"/>
      <c r="H40" s="15"/>
      <c r="J40" s="2">
        <v>32</v>
      </c>
      <c r="K40" s="7" t="s">
        <v>202</v>
      </c>
      <c r="L40" s="8" t="s">
        <v>9</v>
      </c>
      <c r="M40" s="8" t="s">
        <v>9</v>
      </c>
      <c r="N40" s="2"/>
      <c r="O40" s="11"/>
      <c r="P40" s="10"/>
    </row>
    <row r="41" spans="2:16" ht="14.4" customHeight="1" x14ac:dyDescent="0.3">
      <c r="B41" s="1">
        <v>33</v>
      </c>
      <c r="C41" s="7" t="s">
        <v>202</v>
      </c>
      <c r="D41" s="7" t="s">
        <v>9</v>
      </c>
      <c r="E41" s="7" t="s">
        <v>9</v>
      </c>
      <c r="F41" s="1"/>
      <c r="G41" s="14"/>
      <c r="H41" s="15"/>
      <c r="J41" s="2">
        <v>33</v>
      </c>
      <c r="K41" s="7" t="s">
        <v>202</v>
      </c>
      <c r="L41" s="8" t="s">
        <v>9</v>
      </c>
      <c r="M41" s="8" t="s">
        <v>9</v>
      </c>
      <c r="N41" s="2"/>
      <c r="O41" s="11"/>
      <c r="P41" s="10"/>
    </row>
    <row r="42" spans="2:16" ht="14.4" customHeight="1" x14ac:dyDescent="0.3">
      <c r="B42" s="1">
        <v>34</v>
      </c>
      <c r="C42" s="7" t="s">
        <v>202</v>
      </c>
      <c r="D42" s="7" t="s">
        <v>9</v>
      </c>
      <c r="E42" s="7" t="s">
        <v>9</v>
      </c>
      <c r="F42" s="1"/>
      <c r="G42" s="14"/>
      <c r="H42" s="15"/>
      <c r="J42" s="2">
        <v>34</v>
      </c>
      <c r="K42" s="7" t="s">
        <v>202</v>
      </c>
      <c r="L42" s="8" t="s">
        <v>9</v>
      </c>
      <c r="M42" s="8" t="s">
        <v>9</v>
      </c>
      <c r="N42" s="2"/>
      <c r="O42" s="11"/>
      <c r="P42" s="10"/>
    </row>
    <row r="43" spans="2:16" ht="14.4" customHeight="1" x14ac:dyDescent="0.3">
      <c r="B43" s="1">
        <v>35</v>
      </c>
      <c r="C43" s="7" t="s">
        <v>202</v>
      </c>
      <c r="D43" s="7" t="s">
        <v>9</v>
      </c>
      <c r="E43" s="7" t="s">
        <v>9</v>
      </c>
      <c r="F43" s="1"/>
      <c r="G43" s="14"/>
      <c r="H43" s="15"/>
      <c r="J43" s="2">
        <v>35</v>
      </c>
      <c r="K43" s="7" t="s">
        <v>202</v>
      </c>
      <c r="L43" s="8" t="s">
        <v>9</v>
      </c>
      <c r="M43" s="8" t="s">
        <v>9</v>
      </c>
      <c r="N43" s="2"/>
      <c r="O43" s="11"/>
      <c r="P43" s="10"/>
    </row>
    <row r="44" spans="2:16" ht="14.4" customHeight="1" x14ac:dyDescent="0.3">
      <c r="B44" s="1">
        <v>36</v>
      </c>
      <c r="C44" s="7" t="s">
        <v>202</v>
      </c>
      <c r="D44" s="7" t="s">
        <v>9</v>
      </c>
      <c r="E44" s="7" t="s">
        <v>9</v>
      </c>
      <c r="F44" s="1"/>
      <c r="G44" s="14"/>
      <c r="H44" s="15"/>
      <c r="J44" s="2">
        <v>36</v>
      </c>
      <c r="K44" s="7" t="s">
        <v>202</v>
      </c>
      <c r="L44" s="8" t="s">
        <v>9</v>
      </c>
      <c r="M44" s="8" t="s">
        <v>9</v>
      </c>
      <c r="N44" s="2"/>
      <c r="O44" s="11"/>
      <c r="P44" s="10"/>
    </row>
    <row r="45" spans="2:16" ht="14.4" customHeight="1" x14ac:dyDescent="0.3">
      <c r="B45" s="1">
        <v>37</v>
      </c>
      <c r="C45" s="7" t="s">
        <v>202</v>
      </c>
      <c r="D45" s="7" t="s">
        <v>9</v>
      </c>
      <c r="E45" s="7" t="s">
        <v>9</v>
      </c>
      <c r="F45" s="1"/>
      <c r="G45" s="14"/>
      <c r="H45" s="15"/>
      <c r="J45" s="2">
        <v>37</v>
      </c>
      <c r="K45" s="7" t="s">
        <v>202</v>
      </c>
      <c r="L45" s="8" t="s">
        <v>9</v>
      </c>
      <c r="M45" s="8" t="s">
        <v>9</v>
      </c>
      <c r="N45" s="2"/>
      <c r="O45" s="11"/>
      <c r="P45" s="10"/>
    </row>
    <row r="46" spans="2:16" ht="14.4" customHeight="1" x14ac:dyDescent="0.3">
      <c r="B46" s="1">
        <v>38</v>
      </c>
      <c r="C46" s="7" t="s">
        <v>202</v>
      </c>
      <c r="D46" s="7" t="s">
        <v>9</v>
      </c>
      <c r="E46" s="7" t="s">
        <v>9</v>
      </c>
      <c r="F46" s="1"/>
      <c r="G46" s="14"/>
      <c r="H46" s="15"/>
      <c r="J46" s="2">
        <v>38</v>
      </c>
      <c r="K46" s="7" t="s">
        <v>202</v>
      </c>
      <c r="L46" s="8" t="s">
        <v>9</v>
      </c>
      <c r="M46" s="8" t="s">
        <v>9</v>
      </c>
      <c r="N46" s="2"/>
      <c r="O46" s="11"/>
      <c r="P46" s="10"/>
    </row>
    <row r="47" spans="2:16" ht="14.4" customHeight="1" x14ac:dyDescent="0.3">
      <c r="B47" s="1">
        <v>39</v>
      </c>
      <c r="C47" s="7" t="s">
        <v>202</v>
      </c>
      <c r="D47" s="7" t="s">
        <v>9</v>
      </c>
      <c r="E47" s="7" t="s">
        <v>9</v>
      </c>
      <c r="F47" s="1"/>
      <c r="G47" s="14"/>
      <c r="H47" s="15"/>
      <c r="J47" s="2">
        <v>39</v>
      </c>
      <c r="K47" s="7" t="s">
        <v>202</v>
      </c>
      <c r="L47" s="8" t="s">
        <v>9</v>
      </c>
      <c r="M47" s="8" t="s">
        <v>9</v>
      </c>
      <c r="N47" s="2"/>
      <c r="O47" s="11"/>
      <c r="P47" s="10"/>
    </row>
    <row r="48" spans="2:16" ht="14.4" customHeight="1" x14ac:dyDescent="0.3">
      <c r="B48" s="1">
        <v>40</v>
      </c>
      <c r="C48" s="7" t="s">
        <v>202</v>
      </c>
      <c r="D48" s="7" t="s">
        <v>9</v>
      </c>
      <c r="E48" s="7" t="s">
        <v>9</v>
      </c>
      <c r="F48" s="1"/>
      <c r="G48" s="14"/>
      <c r="H48" s="15"/>
      <c r="J48" s="2">
        <v>40</v>
      </c>
      <c r="K48" s="7" t="s">
        <v>202</v>
      </c>
      <c r="L48" s="8" t="s">
        <v>9</v>
      </c>
      <c r="M48" s="8" t="s">
        <v>9</v>
      </c>
      <c r="N48" s="2"/>
      <c r="O48" s="11"/>
      <c r="P48" s="10"/>
    </row>
    <row r="49" spans="2:16" ht="14.4" customHeight="1" x14ac:dyDescent="0.3">
      <c r="B49" s="1">
        <v>41</v>
      </c>
      <c r="C49" s="7" t="s">
        <v>202</v>
      </c>
      <c r="D49" s="7" t="s">
        <v>9</v>
      </c>
      <c r="E49" s="7" t="s">
        <v>9</v>
      </c>
      <c r="F49" s="1"/>
      <c r="G49" s="14"/>
      <c r="H49" s="15"/>
      <c r="J49" s="2">
        <v>41</v>
      </c>
      <c r="K49" s="7" t="s">
        <v>202</v>
      </c>
      <c r="L49" s="8" t="s">
        <v>9</v>
      </c>
      <c r="M49" s="8" t="s">
        <v>9</v>
      </c>
      <c r="N49" s="2"/>
      <c r="O49" s="11"/>
      <c r="P49" s="10"/>
    </row>
    <row r="50" spans="2:16" ht="14.4" customHeight="1" x14ac:dyDescent="0.3">
      <c r="B50" s="1">
        <v>42</v>
      </c>
      <c r="C50" s="7" t="s">
        <v>202</v>
      </c>
      <c r="D50" s="7" t="s">
        <v>9</v>
      </c>
      <c r="E50" s="7" t="s">
        <v>9</v>
      </c>
      <c r="F50" s="1"/>
      <c r="G50" s="14"/>
      <c r="H50" s="15"/>
      <c r="J50" s="2">
        <v>42</v>
      </c>
      <c r="K50" s="7" t="s">
        <v>202</v>
      </c>
      <c r="L50" s="8" t="s">
        <v>9</v>
      </c>
      <c r="M50" s="8" t="s">
        <v>9</v>
      </c>
      <c r="N50" s="2"/>
      <c r="O50" s="11"/>
      <c r="P50" s="10"/>
    </row>
    <row r="51" spans="2:16" ht="14.4" customHeight="1" x14ac:dyDescent="0.3">
      <c r="B51" s="1">
        <v>43</v>
      </c>
      <c r="C51" s="7" t="s">
        <v>202</v>
      </c>
      <c r="D51" s="7" t="s">
        <v>9</v>
      </c>
      <c r="E51" s="7" t="s">
        <v>9</v>
      </c>
      <c r="F51" s="1"/>
      <c r="G51" s="14"/>
      <c r="H51" s="15"/>
      <c r="J51" s="2">
        <v>43</v>
      </c>
      <c r="K51" s="7" t="s">
        <v>202</v>
      </c>
      <c r="L51" s="8" t="s">
        <v>9</v>
      </c>
      <c r="M51" s="8" t="s">
        <v>9</v>
      </c>
      <c r="N51" s="2"/>
      <c r="O51" s="11"/>
      <c r="P51" s="10"/>
    </row>
    <row r="52" spans="2:16" ht="14.4" customHeight="1" x14ac:dyDescent="0.3">
      <c r="B52" s="1">
        <v>44</v>
      </c>
      <c r="C52" s="7" t="s">
        <v>202</v>
      </c>
      <c r="D52" s="7" t="s">
        <v>9</v>
      </c>
      <c r="E52" s="7" t="s">
        <v>9</v>
      </c>
      <c r="F52" s="1"/>
      <c r="G52" s="14"/>
      <c r="H52" s="15"/>
      <c r="J52" s="2">
        <v>44</v>
      </c>
      <c r="K52" s="7" t="s">
        <v>202</v>
      </c>
      <c r="L52" s="8" t="s">
        <v>9</v>
      </c>
      <c r="M52" s="8" t="s">
        <v>9</v>
      </c>
      <c r="N52" s="2"/>
      <c r="O52" s="11"/>
      <c r="P52" s="10"/>
    </row>
    <row r="53" spans="2:16" ht="14.4" customHeight="1" x14ac:dyDescent="0.3">
      <c r="B53" s="1">
        <v>45</v>
      </c>
      <c r="C53" s="7" t="s">
        <v>202</v>
      </c>
      <c r="D53" s="7" t="s">
        <v>9</v>
      </c>
      <c r="E53" s="7" t="s">
        <v>9</v>
      </c>
      <c r="F53" s="1"/>
      <c r="G53" s="14"/>
      <c r="H53" s="15"/>
      <c r="J53" s="2">
        <v>45</v>
      </c>
      <c r="K53" s="7" t="s">
        <v>202</v>
      </c>
      <c r="L53" s="8" t="s">
        <v>9</v>
      </c>
      <c r="M53" s="8" t="s">
        <v>9</v>
      </c>
      <c r="N53" s="2"/>
      <c r="O53" s="11"/>
      <c r="P53" s="10"/>
    </row>
    <row r="54" spans="2:16" ht="14.4" customHeight="1" x14ac:dyDescent="0.3">
      <c r="B54" s="1">
        <v>46</v>
      </c>
      <c r="C54" s="7" t="s">
        <v>202</v>
      </c>
      <c r="D54" s="7" t="s">
        <v>9</v>
      </c>
      <c r="E54" s="7" t="s">
        <v>9</v>
      </c>
      <c r="F54" s="1"/>
      <c r="G54" s="14"/>
      <c r="H54" s="15"/>
      <c r="J54" s="2">
        <v>46</v>
      </c>
      <c r="K54" s="7" t="s">
        <v>202</v>
      </c>
      <c r="L54" s="8" t="s">
        <v>9</v>
      </c>
      <c r="M54" s="8" t="s">
        <v>9</v>
      </c>
      <c r="N54" s="2"/>
      <c r="O54" s="11"/>
      <c r="P54" s="10"/>
    </row>
    <row r="55" spans="2:16" ht="14.4" customHeight="1" x14ac:dyDescent="0.3">
      <c r="B55" s="1">
        <v>47</v>
      </c>
      <c r="C55" s="7" t="s">
        <v>202</v>
      </c>
      <c r="D55" s="7" t="s">
        <v>9</v>
      </c>
      <c r="E55" s="7" t="s">
        <v>9</v>
      </c>
      <c r="F55" s="1"/>
      <c r="G55" s="14"/>
      <c r="H55" s="15"/>
      <c r="J55" s="2">
        <v>47</v>
      </c>
      <c r="K55" s="7" t="s">
        <v>202</v>
      </c>
      <c r="L55" s="8" t="s">
        <v>9</v>
      </c>
      <c r="M55" s="8" t="s">
        <v>9</v>
      </c>
      <c r="N55" s="2"/>
      <c r="O55" s="11"/>
      <c r="P55" s="10"/>
    </row>
    <row r="56" spans="2:16" ht="14.4" customHeight="1" x14ac:dyDescent="0.3">
      <c r="B56" s="1">
        <v>48</v>
      </c>
      <c r="C56" s="7" t="s">
        <v>202</v>
      </c>
      <c r="D56" s="7" t="s">
        <v>9</v>
      </c>
      <c r="E56" s="7" t="s">
        <v>9</v>
      </c>
      <c r="F56" s="1"/>
      <c r="G56" s="14"/>
      <c r="H56" s="15"/>
      <c r="J56" s="2">
        <v>48</v>
      </c>
      <c r="K56" s="7" t="s">
        <v>202</v>
      </c>
      <c r="L56" s="8" t="s">
        <v>9</v>
      </c>
      <c r="M56" s="8" t="s">
        <v>9</v>
      </c>
      <c r="N56" s="2"/>
      <c r="O56" s="11"/>
      <c r="P56" s="10"/>
    </row>
    <row r="57" spans="2:16" ht="14.4" customHeight="1" x14ac:dyDescent="0.3">
      <c r="B57" s="1">
        <v>49</v>
      </c>
      <c r="C57" s="7" t="s">
        <v>202</v>
      </c>
      <c r="D57" s="7" t="s">
        <v>9</v>
      </c>
      <c r="E57" s="7" t="s">
        <v>9</v>
      </c>
      <c r="F57" s="1"/>
      <c r="G57" s="14"/>
      <c r="H57" s="15"/>
      <c r="J57" s="2">
        <v>49</v>
      </c>
      <c r="K57" s="7" t="s">
        <v>202</v>
      </c>
      <c r="L57" s="8" t="s">
        <v>9</v>
      </c>
      <c r="M57" s="8" t="s">
        <v>9</v>
      </c>
      <c r="N57" s="2"/>
      <c r="O57" s="11"/>
      <c r="P57" s="10"/>
    </row>
    <row r="58" spans="2:16" ht="14.4" customHeight="1" x14ac:dyDescent="0.3">
      <c r="B58" s="1">
        <v>50</v>
      </c>
      <c r="C58" s="7" t="s">
        <v>202</v>
      </c>
      <c r="D58" s="7" t="s">
        <v>9</v>
      </c>
      <c r="E58" s="7" t="s">
        <v>9</v>
      </c>
      <c r="F58" s="1"/>
      <c r="G58" s="14"/>
      <c r="H58" s="15"/>
      <c r="J58" s="2">
        <v>50</v>
      </c>
      <c r="K58" s="7" t="s">
        <v>202</v>
      </c>
      <c r="L58" s="8" t="s">
        <v>9</v>
      </c>
      <c r="M58" s="8" t="s">
        <v>9</v>
      </c>
      <c r="N58" s="2"/>
      <c r="O58" s="11"/>
      <c r="P58" s="10"/>
    </row>
    <row r="59" spans="2:16" ht="14.4" customHeight="1" x14ac:dyDescent="0.3">
      <c r="B59" s="1">
        <v>51</v>
      </c>
      <c r="C59" s="7" t="s">
        <v>202</v>
      </c>
      <c r="D59" s="7" t="s">
        <v>9</v>
      </c>
      <c r="E59" s="7" t="s">
        <v>9</v>
      </c>
      <c r="F59" s="1"/>
      <c r="G59" s="14"/>
      <c r="H59" s="15"/>
      <c r="J59" s="2">
        <v>51</v>
      </c>
      <c r="K59" s="7" t="s">
        <v>202</v>
      </c>
      <c r="L59" s="8" t="s">
        <v>9</v>
      </c>
      <c r="M59" s="8" t="s">
        <v>9</v>
      </c>
      <c r="N59" s="2"/>
      <c r="O59" s="11"/>
      <c r="P59" s="10"/>
    </row>
    <row r="60" spans="2:16" ht="14.4" customHeight="1" x14ac:dyDescent="0.3">
      <c r="B60" s="1">
        <v>52</v>
      </c>
      <c r="C60" s="7" t="s">
        <v>202</v>
      </c>
      <c r="D60" s="7" t="s">
        <v>9</v>
      </c>
      <c r="E60" s="7" t="s">
        <v>9</v>
      </c>
      <c r="F60" s="1"/>
      <c r="G60" s="14"/>
      <c r="H60" s="15"/>
      <c r="J60" s="2">
        <v>52</v>
      </c>
      <c r="K60" s="7" t="s">
        <v>202</v>
      </c>
      <c r="L60" s="8" t="s">
        <v>9</v>
      </c>
      <c r="M60" s="8" t="s">
        <v>9</v>
      </c>
      <c r="N60" s="2"/>
      <c r="O60" s="11"/>
      <c r="P60" s="10"/>
    </row>
    <row r="61" spans="2:16" ht="14.4" customHeight="1" x14ac:dyDescent="0.3">
      <c r="B61" s="1">
        <v>53</v>
      </c>
      <c r="C61" s="7" t="s">
        <v>202</v>
      </c>
      <c r="D61" s="7" t="s">
        <v>9</v>
      </c>
      <c r="E61" s="7" t="s">
        <v>9</v>
      </c>
      <c r="F61" s="1"/>
      <c r="G61" s="14"/>
      <c r="H61" s="15"/>
      <c r="J61" s="2">
        <v>53</v>
      </c>
      <c r="K61" s="7" t="s">
        <v>202</v>
      </c>
      <c r="L61" s="8" t="s">
        <v>9</v>
      </c>
      <c r="M61" s="8" t="s">
        <v>9</v>
      </c>
      <c r="N61" s="2"/>
      <c r="O61" s="11"/>
      <c r="P61" s="10"/>
    </row>
    <row r="62" spans="2:16" ht="14.4" customHeight="1" x14ac:dyDescent="0.3">
      <c r="B62" s="1">
        <v>54</v>
      </c>
      <c r="C62" s="7" t="s">
        <v>202</v>
      </c>
      <c r="D62" s="7" t="s">
        <v>9</v>
      </c>
      <c r="E62" s="7" t="s">
        <v>9</v>
      </c>
      <c r="F62" s="1"/>
      <c r="G62" s="14"/>
      <c r="H62" s="15"/>
      <c r="J62" s="2">
        <v>54</v>
      </c>
      <c r="K62" s="7" t="s">
        <v>202</v>
      </c>
      <c r="L62" s="8" t="s">
        <v>9</v>
      </c>
      <c r="M62" s="8" t="s">
        <v>9</v>
      </c>
      <c r="N62" s="2"/>
      <c r="O62" s="11"/>
      <c r="P62" s="10"/>
    </row>
    <row r="63" spans="2:16" ht="14.4" customHeight="1" x14ac:dyDescent="0.3">
      <c r="B63" s="1">
        <v>55</v>
      </c>
      <c r="C63" s="7" t="s">
        <v>202</v>
      </c>
      <c r="D63" s="7" t="s">
        <v>9</v>
      </c>
      <c r="E63" s="7" t="s">
        <v>9</v>
      </c>
      <c r="F63" s="1"/>
      <c r="G63" s="14"/>
      <c r="H63" s="15"/>
      <c r="J63" s="2">
        <v>55</v>
      </c>
      <c r="K63" s="7" t="s">
        <v>202</v>
      </c>
      <c r="L63" s="8" t="s">
        <v>9</v>
      </c>
      <c r="M63" s="8" t="s">
        <v>9</v>
      </c>
      <c r="N63" s="2"/>
      <c r="O63" s="11"/>
      <c r="P63" s="10"/>
    </row>
    <row r="64" spans="2:16" ht="14.4" customHeight="1" x14ac:dyDescent="0.3">
      <c r="B64" s="1">
        <v>56</v>
      </c>
      <c r="C64" s="7" t="s">
        <v>202</v>
      </c>
      <c r="D64" s="7" t="s">
        <v>9</v>
      </c>
      <c r="E64" s="7" t="s">
        <v>9</v>
      </c>
      <c r="F64" s="1"/>
      <c r="G64" s="14"/>
      <c r="H64" s="15"/>
      <c r="J64" s="2">
        <v>56</v>
      </c>
      <c r="K64" s="7" t="s">
        <v>202</v>
      </c>
      <c r="L64" s="8" t="s">
        <v>9</v>
      </c>
      <c r="M64" s="8" t="s">
        <v>9</v>
      </c>
      <c r="N64" s="2"/>
      <c r="O64" s="11"/>
      <c r="P64" s="10"/>
    </row>
    <row r="65" spans="2:16" ht="14.4" customHeight="1" x14ac:dyDescent="0.3">
      <c r="B65" s="1">
        <v>57</v>
      </c>
      <c r="C65" s="7" t="s">
        <v>202</v>
      </c>
      <c r="D65" s="7" t="s">
        <v>9</v>
      </c>
      <c r="E65" s="7" t="s">
        <v>9</v>
      </c>
      <c r="F65" s="1"/>
      <c r="G65" s="14"/>
      <c r="H65" s="15"/>
      <c r="J65" s="2">
        <v>57</v>
      </c>
      <c r="K65" s="7" t="s">
        <v>202</v>
      </c>
      <c r="L65" s="8" t="s">
        <v>9</v>
      </c>
      <c r="M65" s="8" t="s">
        <v>9</v>
      </c>
      <c r="N65" s="2"/>
      <c r="O65" s="11"/>
      <c r="P65" s="10"/>
    </row>
    <row r="66" spans="2:16" ht="14.4" customHeight="1" x14ac:dyDescent="0.3">
      <c r="B66" s="1">
        <v>58</v>
      </c>
      <c r="C66" s="7" t="s">
        <v>202</v>
      </c>
      <c r="D66" s="7" t="s">
        <v>9</v>
      </c>
      <c r="E66" s="7" t="s">
        <v>9</v>
      </c>
      <c r="F66" s="1"/>
      <c r="G66" s="14"/>
      <c r="H66" s="15"/>
      <c r="J66" s="2">
        <v>58</v>
      </c>
      <c r="K66" s="7" t="s">
        <v>202</v>
      </c>
      <c r="L66" s="8" t="s">
        <v>9</v>
      </c>
      <c r="M66" s="8" t="s">
        <v>9</v>
      </c>
      <c r="N66" s="2"/>
      <c r="O66" s="11"/>
      <c r="P66" s="10"/>
    </row>
    <row r="67" spans="2:16" ht="14.4" customHeight="1" x14ac:dyDescent="0.3">
      <c r="B67" s="1">
        <v>59</v>
      </c>
      <c r="C67" s="7" t="s">
        <v>202</v>
      </c>
      <c r="D67" s="7" t="s">
        <v>9</v>
      </c>
      <c r="E67" s="7" t="s">
        <v>9</v>
      </c>
      <c r="F67" s="1"/>
      <c r="G67" s="14"/>
      <c r="H67" s="15"/>
      <c r="J67" s="2">
        <v>59</v>
      </c>
      <c r="K67" s="7" t="s">
        <v>202</v>
      </c>
      <c r="L67" s="8" t="s">
        <v>9</v>
      </c>
      <c r="M67" s="8" t="s">
        <v>9</v>
      </c>
      <c r="N67" s="2"/>
      <c r="O67" s="11"/>
      <c r="P67" s="10"/>
    </row>
    <row r="68" spans="2:16" ht="14.4" customHeight="1" x14ac:dyDescent="0.3">
      <c r="B68" s="1">
        <v>60</v>
      </c>
      <c r="C68" s="7" t="s">
        <v>202</v>
      </c>
      <c r="D68" s="7" t="s">
        <v>9</v>
      </c>
      <c r="E68" s="7" t="s">
        <v>9</v>
      </c>
      <c r="F68" s="1"/>
      <c r="G68" s="14"/>
      <c r="H68" s="15"/>
      <c r="J68" s="2">
        <v>60</v>
      </c>
      <c r="K68" s="7" t="s">
        <v>202</v>
      </c>
      <c r="L68" s="8" t="s">
        <v>9</v>
      </c>
      <c r="M68" s="8" t="s">
        <v>9</v>
      </c>
      <c r="N68" s="2"/>
      <c r="O68" s="11"/>
      <c r="P68" s="10"/>
    </row>
    <row r="69" spans="2:16" ht="14.4" customHeight="1" x14ac:dyDescent="0.3">
      <c r="B69" s="1">
        <v>61</v>
      </c>
      <c r="C69" s="7" t="s">
        <v>202</v>
      </c>
      <c r="D69" s="7" t="s">
        <v>9</v>
      </c>
      <c r="E69" s="7" t="s">
        <v>9</v>
      </c>
      <c r="F69" s="9"/>
      <c r="G69" s="9"/>
      <c r="J69" s="2">
        <v>61</v>
      </c>
      <c r="K69" s="7" t="s">
        <v>202</v>
      </c>
      <c r="L69" s="8" t="s">
        <v>9</v>
      </c>
      <c r="M69" s="8" t="s">
        <v>9</v>
      </c>
      <c r="N69" s="9"/>
      <c r="O69" s="9"/>
    </row>
    <row r="70" spans="2:16" ht="14.4" customHeight="1" x14ac:dyDescent="0.3">
      <c r="B70" s="1">
        <v>62</v>
      </c>
      <c r="C70" s="7" t="s">
        <v>202</v>
      </c>
      <c r="D70" s="7" t="s">
        <v>9</v>
      </c>
      <c r="E70" s="7" t="s">
        <v>9</v>
      </c>
      <c r="F70" s="9"/>
      <c r="G70" s="9"/>
      <c r="J70" s="2">
        <v>62</v>
      </c>
      <c r="K70" s="7" t="s">
        <v>202</v>
      </c>
      <c r="L70" s="8" t="s">
        <v>9</v>
      </c>
      <c r="M70" s="8" t="s">
        <v>9</v>
      </c>
      <c r="N70" s="9"/>
      <c r="O70" s="9"/>
    </row>
    <row r="71" spans="2:16" ht="14.4" customHeight="1" x14ac:dyDescent="0.3">
      <c r="B71" s="1">
        <v>63</v>
      </c>
      <c r="C71" s="7" t="s">
        <v>202</v>
      </c>
      <c r="D71" s="7" t="s">
        <v>9</v>
      </c>
      <c r="E71" s="7" t="s">
        <v>9</v>
      </c>
      <c r="F71" s="9"/>
      <c r="G71" s="9"/>
      <c r="J71" s="2">
        <v>63</v>
      </c>
      <c r="K71" s="7" t="s">
        <v>202</v>
      </c>
      <c r="L71" s="8" t="s">
        <v>9</v>
      </c>
      <c r="M71" s="8" t="s">
        <v>9</v>
      </c>
      <c r="N71" s="9"/>
      <c r="O71" s="9"/>
    </row>
    <row r="72" spans="2:16" ht="14.4" customHeight="1" x14ac:dyDescent="0.3">
      <c r="B72" s="1">
        <v>64</v>
      </c>
      <c r="C72" s="7" t="s">
        <v>202</v>
      </c>
      <c r="D72" s="7" t="s">
        <v>9</v>
      </c>
      <c r="E72" s="7" t="s">
        <v>9</v>
      </c>
      <c r="F72" s="9"/>
      <c r="G72" s="9"/>
      <c r="J72" s="2">
        <v>64</v>
      </c>
      <c r="K72" s="7" t="s">
        <v>202</v>
      </c>
      <c r="L72" s="8" t="s">
        <v>9</v>
      </c>
      <c r="M72" s="8" t="s">
        <v>9</v>
      </c>
      <c r="N72" s="9"/>
      <c r="O72" s="9"/>
    </row>
    <row r="73" spans="2:16" ht="14.4" customHeight="1" x14ac:dyDescent="0.3">
      <c r="B73" s="1">
        <v>65</v>
      </c>
      <c r="C73" s="7" t="s">
        <v>202</v>
      </c>
      <c r="D73" s="7" t="s">
        <v>9</v>
      </c>
      <c r="E73" s="7" t="s">
        <v>9</v>
      </c>
      <c r="F73" s="9"/>
      <c r="G73" s="9"/>
      <c r="J73" s="2">
        <v>65</v>
      </c>
      <c r="K73" s="7" t="s">
        <v>202</v>
      </c>
      <c r="L73" s="8" t="s">
        <v>9</v>
      </c>
      <c r="M73" s="8" t="s">
        <v>9</v>
      </c>
      <c r="N73" s="9"/>
      <c r="O73" s="9"/>
    </row>
    <row r="74" spans="2:16" ht="14.4" customHeight="1" x14ac:dyDescent="0.3">
      <c r="B74" s="1">
        <v>66</v>
      </c>
      <c r="C74" s="7" t="s">
        <v>202</v>
      </c>
      <c r="D74" s="7" t="s">
        <v>9</v>
      </c>
      <c r="E74" s="7" t="s">
        <v>9</v>
      </c>
      <c r="F74" s="9"/>
      <c r="G74" s="9"/>
      <c r="J74" s="2">
        <v>66</v>
      </c>
      <c r="K74" s="7" t="s">
        <v>202</v>
      </c>
      <c r="L74" s="8" t="s">
        <v>9</v>
      </c>
      <c r="M74" s="8" t="s">
        <v>9</v>
      </c>
      <c r="N74" s="9"/>
      <c r="O74" s="9"/>
    </row>
    <row r="75" spans="2:16" ht="14.4" customHeight="1" x14ac:dyDescent="0.3">
      <c r="B75" s="1">
        <v>67</v>
      </c>
      <c r="C75" s="7" t="s">
        <v>202</v>
      </c>
      <c r="D75" s="7" t="s">
        <v>9</v>
      </c>
      <c r="E75" s="7" t="s">
        <v>9</v>
      </c>
      <c r="F75" s="9"/>
      <c r="G75" s="9"/>
      <c r="J75" s="2">
        <v>67</v>
      </c>
      <c r="K75" s="7" t="s">
        <v>202</v>
      </c>
      <c r="L75" s="8" t="s">
        <v>9</v>
      </c>
      <c r="M75" s="8" t="s">
        <v>9</v>
      </c>
      <c r="N75" s="9"/>
      <c r="O75" s="9"/>
    </row>
    <row r="76" spans="2:16" ht="14.4" customHeight="1" x14ac:dyDescent="0.3">
      <c r="B76" s="1">
        <v>68</v>
      </c>
      <c r="C76" s="7" t="s">
        <v>202</v>
      </c>
      <c r="D76" s="7" t="s">
        <v>9</v>
      </c>
      <c r="E76" s="7" t="s">
        <v>9</v>
      </c>
      <c r="F76" s="9"/>
      <c r="G76" s="9"/>
      <c r="J76" s="2">
        <v>68</v>
      </c>
      <c r="K76" s="7" t="s">
        <v>202</v>
      </c>
      <c r="L76" s="8" t="s">
        <v>9</v>
      </c>
      <c r="M76" s="8" t="s">
        <v>9</v>
      </c>
      <c r="N76" s="9"/>
      <c r="O76" s="9"/>
    </row>
    <row r="77" spans="2:16" ht="14.4" customHeight="1" x14ac:dyDescent="0.3">
      <c r="B77" s="1">
        <v>69</v>
      </c>
      <c r="C77" s="7" t="s">
        <v>202</v>
      </c>
      <c r="D77" s="7" t="s">
        <v>9</v>
      </c>
      <c r="E77" s="7" t="s">
        <v>9</v>
      </c>
      <c r="F77" s="9"/>
      <c r="G77" s="9"/>
      <c r="J77" s="2">
        <v>69</v>
      </c>
      <c r="K77" s="7" t="s">
        <v>202</v>
      </c>
      <c r="L77" s="8" t="s">
        <v>9</v>
      </c>
      <c r="M77" s="8" t="s">
        <v>9</v>
      </c>
      <c r="N77" s="9"/>
      <c r="O77" s="9"/>
    </row>
    <row r="78" spans="2:16" ht="14.4" customHeight="1" x14ac:dyDescent="0.3">
      <c r="B78" s="1">
        <v>70</v>
      </c>
      <c r="C78" s="7" t="s">
        <v>202</v>
      </c>
      <c r="D78" s="7" t="s">
        <v>9</v>
      </c>
      <c r="E78" s="7" t="s">
        <v>9</v>
      </c>
      <c r="F78" s="9"/>
      <c r="G78" s="9"/>
      <c r="J78" s="2">
        <v>70</v>
      </c>
      <c r="K78" s="7" t="s">
        <v>202</v>
      </c>
      <c r="L78" s="8" t="s">
        <v>9</v>
      </c>
      <c r="M78" s="8" t="s">
        <v>9</v>
      </c>
      <c r="N78" s="9"/>
      <c r="O78" s="9"/>
    </row>
    <row r="79" spans="2:16" ht="14.4" customHeight="1" x14ac:dyDescent="0.3">
      <c r="B79" s="1">
        <v>71</v>
      </c>
      <c r="C79" s="7" t="s">
        <v>202</v>
      </c>
      <c r="D79" s="7" t="s">
        <v>9</v>
      </c>
      <c r="E79" s="7" t="s">
        <v>9</v>
      </c>
      <c r="F79" s="9"/>
      <c r="G79" s="9"/>
      <c r="J79" s="2">
        <v>71</v>
      </c>
      <c r="K79" s="7" t="s">
        <v>202</v>
      </c>
      <c r="L79" s="8" t="s">
        <v>9</v>
      </c>
      <c r="M79" s="8" t="s">
        <v>9</v>
      </c>
      <c r="N79" s="9"/>
      <c r="O79" s="9"/>
    </row>
    <row r="80" spans="2:16" ht="14.4" customHeight="1" x14ac:dyDescent="0.3">
      <c r="B80" s="1">
        <v>72</v>
      </c>
      <c r="C80" s="7" t="s">
        <v>202</v>
      </c>
      <c r="D80" s="7" t="s">
        <v>9</v>
      </c>
      <c r="E80" s="7" t="s">
        <v>9</v>
      </c>
      <c r="F80" s="9"/>
      <c r="G80" s="9"/>
      <c r="J80" s="2">
        <v>72</v>
      </c>
      <c r="K80" s="7" t="s">
        <v>202</v>
      </c>
      <c r="L80" s="8" t="s">
        <v>9</v>
      </c>
      <c r="M80" s="8" t="s">
        <v>9</v>
      </c>
      <c r="N80" s="9"/>
      <c r="O80" s="9"/>
    </row>
    <row r="81" spans="2:15" ht="14.4" customHeight="1" x14ac:dyDescent="0.3">
      <c r="B81" s="1">
        <v>73</v>
      </c>
      <c r="C81" s="7" t="s">
        <v>202</v>
      </c>
      <c r="D81" s="7" t="s">
        <v>9</v>
      </c>
      <c r="E81" s="7" t="s">
        <v>9</v>
      </c>
      <c r="F81" s="9"/>
      <c r="G81" s="9"/>
      <c r="J81" s="2">
        <v>73</v>
      </c>
      <c r="K81" s="7" t="s">
        <v>202</v>
      </c>
      <c r="L81" s="8" t="s">
        <v>9</v>
      </c>
      <c r="M81" s="8" t="s">
        <v>9</v>
      </c>
      <c r="N81" s="9"/>
      <c r="O81" s="9"/>
    </row>
    <row r="82" spans="2:15" ht="14.4" customHeight="1" x14ac:dyDescent="0.3">
      <c r="B82" s="1">
        <v>74</v>
      </c>
      <c r="C82" s="7" t="s">
        <v>202</v>
      </c>
      <c r="D82" s="7" t="s">
        <v>9</v>
      </c>
      <c r="E82" s="7" t="s">
        <v>9</v>
      </c>
      <c r="F82" s="9"/>
      <c r="G82" s="9"/>
      <c r="J82" s="2">
        <v>74</v>
      </c>
      <c r="K82" s="7" t="s">
        <v>202</v>
      </c>
      <c r="L82" s="8" t="s">
        <v>9</v>
      </c>
      <c r="M82" s="8" t="s">
        <v>9</v>
      </c>
      <c r="N82" s="9"/>
      <c r="O82" s="9"/>
    </row>
    <row r="83" spans="2:15" ht="14.4" customHeight="1" x14ac:dyDescent="0.3">
      <c r="B83" s="1">
        <v>75</v>
      </c>
      <c r="C83" s="7" t="s">
        <v>202</v>
      </c>
      <c r="D83" s="7" t="s">
        <v>9</v>
      </c>
      <c r="E83" s="7" t="s">
        <v>9</v>
      </c>
      <c r="F83" s="9"/>
      <c r="G83" s="9"/>
      <c r="J83" s="2">
        <v>75</v>
      </c>
      <c r="K83" s="7" t="s">
        <v>202</v>
      </c>
      <c r="L83" s="8" t="s">
        <v>9</v>
      </c>
      <c r="M83" s="8" t="s">
        <v>9</v>
      </c>
      <c r="N83" s="9"/>
      <c r="O83" s="9"/>
    </row>
    <row r="84" spans="2:15" ht="14.4" customHeight="1" x14ac:dyDescent="0.3">
      <c r="B84" s="1">
        <v>76</v>
      </c>
      <c r="C84" s="7" t="s">
        <v>202</v>
      </c>
      <c r="D84" s="7" t="s">
        <v>9</v>
      </c>
      <c r="E84" s="7" t="s">
        <v>9</v>
      </c>
      <c r="F84" s="9"/>
      <c r="G84" s="9"/>
      <c r="J84" s="2">
        <v>76</v>
      </c>
      <c r="K84" s="7" t="s">
        <v>202</v>
      </c>
      <c r="L84" s="8" t="s">
        <v>9</v>
      </c>
      <c r="M84" s="8" t="s">
        <v>9</v>
      </c>
      <c r="N84" s="9"/>
      <c r="O84" s="9"/>
    </row>
    <row r="85" spans="2:15" ht="14.4" customHeight="1" x14ac:dyDescent="0.3">
      <c r="B85" s="1">
        <v>77</v>
      </c>
      <c r="C85" s="7" t="s">
        <v>202</v>
      </c>
      <c r="D85" s="7" t="s">
        <v>9</v>
      </c>
      <c r="E85" s="7" t="s">
        <v>9</v>
      </c>
      <c r="F85" s="9"/>
      <c r="G85" s="9"/>
      <c r="J85" s="2">
        <v>77</v>
      </c>
      <c r="K85" s="7" t="s">
        <v>202</v>
      </c>
      <c r="L85" s="8" t="s">
        <v>9</v>
      </c>
      <c r="M85" s="8" t="s">
        <v>9</v>
      </c>
      <c r="N85" s="9"/>
      <c r="O85" s="9"/>
    </row>
    <row r="86" spans="2:15" ht="14.4" customHeight="1" x14ac:dyDescent="0.3">
      <c r="B86" s="1">
        <v>78</v>
      </c>
      <c r="C86" s="7" t="s">
        <v>202</v>
      </c>
      <c r="D86" s="7" t="s">
        <v>9</v>
      </c>
      <c r="E86" s="7" t="s">
        <v>9</v>
      </c>
      <c r="F86" s="9"/>
      <c r="G86" s="9"/>
      <c r="J86" s="2">
        <v>78</v>
      </c>
      <c r="K86" s="7" t="s">
        <v>202</v>
      </c>
      <c r="L86" s="8" t="s">
        <v>9</v>
      </c>
      <c r="M86" s="8" t="s">
        <v>9</v>
      </c>
      <c r="N86" s="9"/>
      <c r="O86" s="9"/>
    </row>
    <row r="87" spans="2:15" ht="14.4" customHeight="1" x14ac:dyDescent="0.3">
      <c r="B87" s="1">
        <v>79</v>
      </c>
      <c r="C87" s="7" t="s">
        <v>202</v>
      </c>
      <c r="D87" s="7" t="s">
        <v>9</v>
      </c>
      <c r="E87" s="7" t="s">
        <v>9</v>
      </c>
      <c r="F87" s="9"/>
      <c r="G87" s="9"/>
      <c r="J87" s="2">
        <v>79</v>
      </c>
      <c r="K87" s="7" t="s">
        <v>202</v>
      </c>
      <c r="L87" s="8" t="s">
        <v>9</v>
      </c>
      <c r="M87" s="8" t="s">
        <v>9</v>
      </c>
      <c r="N87" s="9"/>
      <c r="O87" s="9"/>
    </row>
    <row r="88" spans="2:15" ht="14.4" customHeight="1" x14ac:dyDescent="0.3">
      <c r="B88" s="1">
        <v>80</v>
      </c>
      <c r="C88" s="7" t="s">
        <v>202</v>
      </c>
      <c r="D88" s="7" t="s">
        <v>9</v>
      </c>
      <c r="E88" s="7" t="s">
        <v>9</v>
      </c>
      <c r="F88" s="9"/>
      <c r="G88" s="9"/>
      <c r="J88" s="2">
        <v>80</v>
      </c>
      <c r="K88" s="7" t="s">
        <v>202</v>
      </c>
      <c r="L88" s="8" t="s">
        <v>9</v>
      </c>
      <c r="M88" s="8" t="s">
        <v>9</v>
      </c>
      <c r="N88" s="9"/>
      <c r="O88" s="9"/>
    </row>
  </sheetData>
  <mergeCells count="3">
    <mergeCell ref="B2:P4"/>
    <mergeCell ref="B6:H7"/>
    <mergeCell ref="J6:P7"/>
  </mergeCells>
  <conditionalFormatting sqref="C9:C88">
    <cfRule type="cellIs" dxfId="95" priority="99" operator="equal">
      <formula>"N_A"</formula>
    </cfRule>
    <cfRule type="cellIs" dxfId="94" priority="103" operator="equal">
      <formula>"Sahur"</formula>
    </cfRule>
    <cfRule type="cellIs" dxfId="93" priority="106" operator="equal">
      <formula>"Sarapan"</formula>
    </cfRule>
    <cfRule type="cellIs" dxfId="92" priority="105" operator="equal">
      <formula>"Makan_Siang"</formula>
    </cfRule>
    <cfRule type="cellIs" dxfId="91" priority="104" operator="equal">
      <formula>"Makan_Malam"</formula>
    </cfRule>
    <cfRule type="cellIs" dxfId="90" priority="102" operator="equal">
      <formula>"Buka_Puasa"</formula>
    </cfRule>
    <cfRule type="cellIs" dxfId="89" priority="100" operator="equal">
      <formula>"Jajan"</formula>
    </cfRule>
  </conditionalFormatting>
  <conditionalFormatting sqref="D9:D88">
    <cfRule type="expression" dxfId="88" priority="70">
      <formula>AND($C9="Makan_Malam", $D9="Gofood")</formula>
    </cfRule>
    <cfRule type="expression" dxfId="87" priority="71">
      <formula>AND($C9="Makan_Malam", $D9="Kwetiauw Goreng")</formula>
    </cfRule>
    <cfRule type="expression" dxfId="86" priority="72">
      <formula>AND($C9="Makan_Malam", $D9="Nasi Goreng")</formula>
    </cfRule>
    <cfRule type="expression" dxfId="85" priority="86">
      <formula>AND($C9="Sarapan", $D9="Warteg")</formula>
    </cfRule>
    <cfRule type="expression" dxfId="84" priority="85">
      <formula>AND($C9="Sarapan", $D9="Bikin Sendiri")</formula>
    </cfRule>
    <cfRule type="expression" dxfId="83" priority="84">
      <formula>AND($C9="Sarapan", $D9="Nasi Kuning")</formula>
    </cfRule>
    <cfRule type="expression" dxfId="82" priority="83">
      <formula>AND($C9="Sarapan", $D9="Nasi Uduk")</formula>
    </cfRule>
    <cfRule type="expression" dxfId="81" priority="82">
      <formula>AND($C9="Sarapan", $D9="Gofood")</formula>
    </cfRule>
    <cfRule type="expression" dxfId="80" priority="81">
      <formula>AND($C9="Makan_Siang", $D9="Warteg")</formula>
    </cfRule>
    <cfRule type="expression" dxfId="79" priority="80">
      <formula>AND($C9="Makan_Siang", $D9="Bikin Sendiri")</formula>
    </cfRule>
    <cfRule type="expression" dxfId="78" priority="79">
      <formula>AND($C9="Makan_Siang", $D9="FKG")</formula>
    </cfRule>
    <cfRule type="expression" dxfId="77" priority="78">
      <formula>AND($C9="Makan_Siang", $D9="Balsan")</formula>
    </cfRule>
    <cfRule type="expression" dxfId="76" priority="77">
      <formula>AND($C9="Makan_Siang", $D9="Gofood")</formula>
    </cfRule>
    <cfRule type="expression" dxfId="75" priority="76">
      <formula>AND($C9="Makan_Siang", $D9="Burger Bangor")</formula>
    </cfRule>
    <cfRule type="expression" dxfId="74" priority="75">
      <formula>AND($C9="Makan_Siang", $D9="Fried Chicken")</formula>
    </cfRule>
    <cfRule type="expression" dxfId="73" priority="74">
      <formula>AND($C9="Makan_Malam", $D9="Warteg")</formula>
    </cfRule>
    <cfRule type="expression" dxfId="72" priority="73">
      <formula>AND($C9="Makan_Malam", $D9="Bikin Sendiri")</formula>
    </cfRule>
    <cfRule type="cellIs" dxfId="71" priority="48" operator="equal">
      <formula>"N/A"</formula>
    </cfRule>
    <cfRule type="cellIs" dxfId="70" priority="49" operator="equal">
      <formula>"Cokelat"</formula>
    </cfRule>
    <cfRule type="cellIs" dxfId="69" priority="50" operator="equal">
      <formula>"Biskuit"</formula>
    </cfRule>
    <cfRule type="cellIs" dxfId="68" priority="51" operator="equal">
      <formula>"Es Krim"</formula>
    </cfRule>
    <cfRule type="cellIs" dxfId="67" priority="52" operator="equal">
      <formula>"Minuman Manis"</formula>
    </cfRule>
    <cfRule type="cellIs" dxfId="66" priority="53" operator="equal">
      <formula>"Keripik"</formula>
    </cfRule>
    <cfRule type="expression" dxfId="65" priority="63">
      <formula>AND($C9="Buka_Puasa", $D9="Beli")</formula>
    </cfRule>
    <cfRule type="expression" dxfId="64" priority="64">
      <formula>AND($C9="Buka_Puasa", $D9="Bikin Sendiri")</formula>
    </cfRule>
    <cfRule type="expression" dxfId="63" priority="65">
      <formula>AND($C9="Buka_Puasa", $D9="Warteg")</formula>
    </cfRule>
    <cfRule type="expression" dxfId="62" priority="66">
      <formula>AND($C9="Sahur", $D9="Sate")</formula>
    </cfRule>
    <cfRule type="expression" dxfId="61" priority="67">
      <formula>AND($C9="Sahur", $D9="Bikin Sendiri")</formula>
    </cfRule>
    <cfRule type="expression" dxfId="60" priority="68">
      <formula>AND($C9="Makan_Malam", $D9="Fried Chicken")</formula>
    </cfRule>
    <cfRule type="expression" dxfId="59" priority="69">
      <formula>AND($C9="Makan_Malam", $D9="Burger Bangor")</formula>
    </cfRule>
  </conditionalFormatting>
  <conditionalFormatting sqref="E9:E88">
    <cfRule type="cellIs" dxfId="58" priority="218" operator="equal">
      <formula>"N/A"</formula>
    </cfRule>
    <cfRule type="cellIs" dxfId="57" priority="219" operator="equal">
      <formula>"Digital"</formula>
    </cfRule>
    <cfRule type="cellIs" dxfId="56" priority="220" operator="equal">
      <formula>"Tunai"</formula>
    </cfRule>
  </conditionalFormatting>
  <conditionalFormatting sqref="K9:K88">
    <cfRule type="cellIs" dxfId="55" priority="92" operator="equal">
      <formula>"Bluebird"</formula>
    </cfRule>
    <cfRule type="cellIs" dxfId="54" priority="97" operator="equal">
      <formula>"Indomaret"</formula>
    </cfRule>
    <cfRule type="cellIs" dxfId="53" priority="98" operator="equal">
      <formula>"Alfamart"</formula>
    </cfRule>
    <cfRule type="cellIs" dxfId="52" priority="87" operator="equal">
      <formula>"N_A"</formula>
    </cfRule>
    <cfRule type="cellIs" dxfId="51" priority="88" operator="equal">
      <formula>"Tokopedia"</formula>
    </cfRule>
    <cfRule type="cellIs" dxfId="50" priority="89" operator="equal">
      <formula>"Event_Lomba"</formula>
    </cfRule>
    <cfRule type="cellIs" dxfId="49" priority="90" operator="equal">
      <formula>"Bank"</formula>
    </cfRule>
    <cfRule type="cellIs" dxfId="48" priority="91" operator="equal">
      <formula>"Beli"</formula>
    </cfRule>
    <cfRule type="cellIs" dxfId="47" priority="93" operator="equal">
      <formula>"Gojek"</formula>
    </cfRule>
    <cfRule type="cellIs" dxfId="46" priority="94" operator="equal">
      <formula>"Telkomsel"</formula>
    </cfRule>
    <cfRule type="cellIs" dxfId="45" priority="95" operator="equal">
      <formula>"Pemeliharaan"</formula>
    </cfRule>
    <cfRule type="cellIs" dxfId="44" priority="96" operator="equal">
      <formula>"Superindo"</formula>
    </cfRule>
  </conditionalFormatting>
  <conditionalFormatting sqref="L9:L88">
    <cfRule type="expression" dxfId="43" priority="25">
      <formula>AND($K9="Tokopedia", $L9="Kebutuhan Diri")</formula>
    </cfRule>
    <cfRule type="expression" dxfId="42" priority="45">
      <formula>AND($K9="Alfamart", $L9="Kebutuhan Diri")</formula>
    </cfRule>
    <cfRule type="expression" dxfId="41" priority="44">
      <formula>AND($K9="Alfamart", $L9="Kebutuhan Mandi")</formula>
    </cfRule>
    <cfRule type="expression" dxfId="40" priority="43">
      <formula>AND($K9="Indomaret", $L9="Kebutuhan Dapur")</formula>
    </cfRule>
    <cfRule type="expression" dxfId="39" priority="42">
      <formula>AND($K9="Indomaret", $L9="Kebutuhan Kos")</formula>
    </cfRule>
    <cfRule type="expression" dxfId="38" priority="41">
      <formula>AND($K9="Indomaret", $L9="Kebutuhan Diri")</formula>
    </cfRule>
    <cfRule type="expression" dxfId="37" priority="40">
      <formula>AND($K9="Indomaret", $L9="Kebutuhan Mandi")</formula>
    </cfRule>
    <cfRule type="expression" dxfId="36" priority="39">
      <formula>AND($K9="Superindo", $L9="Belanja Mingguan")</formula>
    </cfRule>
    <cfRule type="expression" dxfId="35" priority="38">
      <formula>AND($K9="Pemeliharaan", $L9="Cuci Motor")</formula>
    </cfRule>
    <cfRule type="expression" dxfId="34" priority="37">
      <formula>AND($K9="Pemeliharaan", $L9="Laundry")</formula>
    </cfRule>
    <cfRule type="expression" dxfId="33" priority="36">
      <formula>AND($K9="Telkomsel", $L9="Topup Pulsa")</formula>
    </cfRule>
    <cfRule type="expression" dxfId="32" priority="35">
      <formula>AND($K9="Gojek", $L9="Topup Saldo")</formula>
    </cfRule>
    <cfRule type="expression" dxfId="31" priority="34">
      <formula>AND($K9="Bluebird", $L9="Bayar")</formula>
    </cfRule>
    <cfRule type="expression" dxfId="30" priority="32">
      <formula>AND($K9="Beli", $L9="Bensin")</formula>
    </cfRule>
    <cfRule type="expression" dxfId="29" priority="31">
      <formula>AND($K9="Bank", $L9="Admin")</formula>
    </cfRule>
    <cfRule type="expression" dxfId="28" priority="30">
      <formula>AND($K9="Event_Lomba", $L9="CTF")</formula>
    </cfRule>
    <cfRule type="expression" dxfId="27" priority="29">
      <formula>AND($K9="Event_Lomba", $L9="Jalan Kaki")</formula>
    </cfRule>
    <cfRule type="expression" dxfId="26" priority="33">
      <formula>AND($K9="Beli", $L9="Galon")</formula>
    </cfRule>
    <cfRule type="expression" dxfId="25" priority="28">
      <formula>AND($K9="Event_Lomba", $L9="Lari")</formula>
    </cfRule>
    <cfRule type="expression" dxfId="24" priority="27">
      <formula>AND($K9="Event_Lomba", $L9="Sepeda")</formula>
    </cfRule>
    <cfRule type="expression" dxfId="23" priority="26">
      <formula>AND($K9="Tokopedia", $L9="Kebutuhan Kos")</formula>
    </cfRule>
    <cfRule type="expression" dxfId="22" priority="47">
      <formula>AND($K9="Alfamart", $L9="Kebutuhan Dapur")</formula>
    </cfRule>
    <cfRule type="expression" dxfId="21" priority="46">
      <formula>AND($K9="Alfamart", $L9="Kebutuhan Kos")</formula>
    </cfRule>
    <cfRule type="cellIs" dxfId="20" priority="1" operator="equal">
      <formula>"N/A"</formula>
    </cfRule>
  </conditionalFormatting>
  <conditionalFormatting sqref="M9:M88">
    <cfRule type="cellIs" dxfId="19" priority="215" operator="equal">
      <formula>"N/A"</formula>
    </cfRule>
    <cfRule type="cellIs" dxfId="18" priority="216" operator="equal">
      <formula>"Digital"</formula>
    </cfRule>
    <cfRule type="cellIs" dxfId="17" priority="217" operator="equal">
      <formula>"Tunai"</formula>
    </cfRule>
  </conditionalFormatting>
  <dataValidations count="4">
    <dataValidation type="list" allowBlank="1" showInputMessage="1" showErrorMessage="1" sqref="E9:E88 M9:M88" xr:uid="{8CEB1EFB-B604-4C64-8D61-E9BFC2F7932D}">
      <formula1>IF(OR(D9="Deposit",D9="Tarik Tunai"),Transisi_NA,Pembayaran)</formula1>
    </dataValidation>
    <dataValidation type="list" allowBlank="1" showInputMessage="1" showErrorMessage="1" sqref="D9:D88 L9:L88" xr:uid="{B26512C4-1718-4B67-BC98-AF1F9CA62AE4}">
      <formula1>INDIRECT(C9)</formula1>
    </dataValidation>
    <dataValidation type="list" allowBlank="1" showInputMessage="1" showErrorMessage="1" sqref="K9:K88" xr:uid="{3A19DD14-96C0-4D04-970E-202732C16A9C}">
      <formula1>"Alfamart, Indomaret, Superindo, Pemeliharaan, Telkomsel, Gojek, Bluebird, Beli, Bank, Event_Lomba, Tokopedia, N_A"</formula1>
    </dataValidation>
    <dataValidation type="list" showInputMessage="1" showErrorMessage="1" sqref="C9:C88" xr:uid="{1B571465-CBBA-4C3E-92E2-FD9ED7620E40}">
      <formula1>"Sarapan, Makan_Siang, Makan_Malam, Sahur, Buka_Puasa, Jajan, N_A,"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54BC9-ACF2-450D-9C7F-09B90FD428F4}">
  <dimension ref="B2:H15"/>
  <sheetViews>
    <sheetView tabSelected="1" workbookViewId="0">
      <selection activeCell="H12" sqref="H12"/>
    </sheetView>
  </sheetViews>
  <sheetFormatPr defaultRowHeight="14.4" x14ac:dyDescent="0.3"/>
  <cols>
    <col min="1" max="1" width="3.77734375" customWidth="1"/>
    <col min="2" max="2" width="5.6640625" customWidth="1"/>
    <col min="3" max="4" width="20.5546875" customWidth="1"/>
    <col min="5" max="6" width="12.77734375" customWidth="1"/>
    <col min="7" max="7" width="15.5546875" customWidth="1"/>
    <col min="8" max="8" width="17.5546875" customWidth="1"/>
  </cols>
  <sheetData>
    <row r="2" spans="2:8" x14ac:dyDescent="0.3">
      <c r="B2" s="157" t="s">
        <v>61</v>
      </c>
      <c r="C2" s="157"/>
      <c r="D2" s="157"/>
      <c r="E2" s="157"/>
      <c r="F2" s="157"/>
      <c r="G2" s="157"/>
      <c r="H2" s="157"/>
    </row>
    <row r="3" spans="2:8" x14ac:dyDescent="0.3">
      <c r="B3" s="157"/>
      <c r="C3" s="157"/>
      <c r="D3" s="157"/>
      <c r="E3" s="157"/>
      <c r="F3" s="157"/>
      <c r="G3" s="157"/>
      <c r="H3" s="157"/>
    </row>
    <row r="4" spans="2:8" x14ac:dyDescent="0.3">
      <c r="B4" s="157"/>
      <c r="C4" s="157"/>
      <c r="D4" s="157"/>
      <c r="E4" s="157"/>
      <c r="F4" s="157"/>
      <c r="G4" s="157"/>
      <c r="H4" s="157"/>
    </row>
    <row r="5" spans="2:8" x14ac:dyDescent="0.3">
      <c r="B5" s="7" t="s">
        <v>0</v>
      </c>
      <c r="C5" s="7" t="s">
        <v>1</v>
      </c>
      <c r="D5" s="7" t="s">
        <v>2</v>
      </c>
      <c r="E5" s="7" t="s">
        <v>34</v>
      </c>
      <c r="F5" s="7" t="s">
        <v>3</v>
      </c>
      <c r="G5" s="7" t="s">
        <v>200</v>
      </c>
      <c r="H5" s="7" t="s">
        <v>5</v>
      </c>
    </row>
    <row r="6" spans="2:8" x14ac:dyDescent="0.3">
      <c r="B6" s="1">
        <v>1</v>
      </c>
      <c r="C6" s="7" t="s">
        <v>73</v>
      </c>
      <c r="D6" s="7" t="s">
        <v>75</v>
      </c>
      <c r="E6" s="7" t="s">
        <v>45</v>
      </c>
      <c r="F6" s="13">
        <v>45658</v>
      </c>
      <c r="G6" s="16">
        <v>1000000</v>
      </c>
      <c r="H6" s="17">
        <f>SUMIFS(G6:G15, C6:C15, "&lt;&gt;Transisi")</f>
        <v>3000000</v>
      </c>
    </row>
    <row r="7" spans="2:8" x14ac:dyDescent="0.3">
      <c r="B7" s="1">
        <v>2</v>
      </c>
      <c r="C7" s="7" t="s">
        <v>73</v>
      </c>
      <c r="D7" s="7" t="s">
        <v>75</v>
      </c>
      <c r="E7" s="7" t="s">
        <v>43</v>
      </c>
      <c r="F7" s="13">
        <v>45658</v>
      </c>
      <c r="G7" s="14">
        <v>1000000</v>
      </c>
      <c r="H7" s="15"/>
    </row>
    <row r="8" spans="2:8" x14ac:dyDescent="0.3">
      <c r="B8" s="1">
        <v>3</v>
      </c>
      <c r="C8" s="7" t="s">
        <v>201</v>
      </c>
      <c r="D8" s="7" t="s">
        <v>56</v>
      </c>
      <c r="E8" s="7" t="s">
        <v>43</v>
      </c>
      <c r="F8" s="13">
        <v>45658</v>
      </c>
      <c r="G8" s="14">
        <v>1000000</v>
      </c>
      <c r="H8" s="15"/>
    </row>
    <row r="9" spans="2:8" x14ac:dyDescent="0.3">
      <c r="B9" s="1">
        <v>4</v>
      </c>
      <c r="C9" s="7" t="s">
        <v>74</v>
      </c>
      <c r="D9" s="7" t="s">
        <v>76</v>
      </c>
      <c r="E9" s="7" t="s">
        <v>9</v>
      </c>
      <c r="F9" s="13">
        <v>45658</v>
      </c>
      <c r="G9" s="14">
        <v>500000</v>
      </c>
      <c r="H9" s="15"/>
    </row>
    <row r="10" spans="2:8" x14ac:dyDescent="0.3">
      <c r="B10" s="1">
        <v>5</v>
      </c>
      <c r="C10" s="7" t="s">
        <v>202</v>
      </c>
      <c r="D10" s="7" t="s">
        <v>9</v>
      </c>
      <c r="E10" s="7" t="s">
        <v>9</v>
      </c>
      <c r="F10" s="1"/>
      <c r="G10" s="14"/>
      <c r="H10" s="15"/>
    </row>
    <row r="11" spans="2:8" x14ac:dyDescent="0.3">
      <c r="B11" s="1">
        <v>6</v>
      </c>
      <c r="C11" s="7" t="s">
        <v>202</v>
      </c>
      <c r="D11" s="7" t="s">
        <v>9</v>
      </c>
      <c r="E11" s="7" t="s">
        <v>9</v>
      </c>
      <c r="F11" s="1"/>
      <c r="G11" s="14"/>
      <c r="H11" s="15"/>
    </row>
    <row r="12" spans="2:8" x14ac:dyDescent="0.3">
      <c r="B12" s="1">
        <v>7</v>
      </c>
      <c r="C12" s="7" t="s">
        <v>202</v>
      </c>
      <c r="D12" s="7" t="s">
        <v>9</v>
      </c>
      <c r="E12" s="7" t="s">
        <v>9</v>
      </c>
      <c r="F12" s="1"/>
      <c r="G12" s="14"/>
      <c r="H12" s="15"/>
    </row>
    <row r="13" spans="2:8" x14ac:dyDescent="0.3">
      <c r="B13" s="1">
        <v>8</v>
      </c>
      <c r="C13" s="7" t="s">
        <v>202</v>
      </c>
      <c r="D13" s="7" t="s">
        <v>9</v>
      </c>
      <c r="E13" s="7" t="s">
        <v>9</v>
      </c>
      <c r="F13" s="1"/>
      <c r="G13" s="14"/>
      <c r="H13" s="15"/>
    </row>
    <row r="14" spans="2:8" x14ac:dyDescent="0.3">
      <c r="B14" s="1">
        <v>9</v>
      </c>
      <c r="C14" s="7" t="s">
        <v>202</v>
      </c>
      <c r="D14" s="7" t="s">
        <v>9</v>
      </c>
      <c r="E14" s="7" t="s">
        <v>9</v>
      </c>
      <c r="F14" s="1"/>
      <c r="G14" s="14"/>
      <c r="H14" s="15"/>
    </row>
    <row r="15" spans="2:8" x14ac:dyDescent="0.3">
      <c r="B15" s="1">
        <v>10</v>
      </c>
      <c r="C15" s="7" t="s">
        <v>202</v>
      </c>
      <c r="D15" s="7" t="s">
        <v>9</v>
      </c>
      <c r="E15" s="7" t="s">
        <v>9</v>
      </c>
      <c r="F15" s="1"/>
      <c r="G15" s="14"/>
      <c r="H15" s="15"/>
    </row>
  </sheetData>
  <mergeCells count="1">
    <mergeCell ref="B2:H4"/>
  </mergeCells>
  <conditionalFormatting sqref="C6:C15">
    <cfRule type="cellIs" dxfId="16" priority="10" operator="equal">
      <formula>"Pembayaran"</formula>
    </cfRule>
    <cfRule type="cellIs" dxfId="15" priority="11" operator="equal">
      <formula>"N_A"</formula>
    </cfRule>
    <cfRule type="cellIs" dxfId="14" priority="12" operator="equal">
      <formula>"Transisi"</formula>
    </cfRule>
    <cfRule type="cellIs" dxfId="13" priority="13" operator="equal">
      <formula>"Sisa"</formula>
    </cfRule>
    <cfRule type="cellIs" dxfId="12" priority="14" operator="equal">
      <formula>"Uang_Bulanan"</formula>
    </cfRule>
  </conditionalFormatting>
  <conditionalFormatting sqref="D6:D15">
    <cfRule type="cellIs" dxfId="11" priority="1" operator="equal">
      <formula>"Digital"</formula>
    </cfRule>
    <cfRule type="cellIs" dxfId="10" priority="2" operator="equal">
      <formula>"Tunai"</formula>
    </cfRule>
    <cfRule type="cellIs" dxfId="9" priority="3" operator="equal">
      <formula>"N/A"</formula>
    </cfRule>
    <cfRule type="cellIs" dxfId="8" priority="4" operator="equal">
      <formula>"Tarik Tunai"</formula>
    </cfRule>
    <cfRule type="cellIs" dxfId="7" priority="5" operator="equal">
      <formula>"Deposit"</formula>
    </cfRule>
    <cfRule type="cellIs" dxfId="6" priority="6" operator="equal">
      <formula>"Bulan Lalu"</formula>
    </cfRule>
    <cfRule type="cellIs" dxfId="5" priority="7" operator="equal">
      <formula>"Beasiswa"</formula>
    </cfRule>
    <cfRule type="cellIs" dxfId="4" priority="8" operator="equal">
      <formula>"Ortu"</formula>
    </cfRule>
    <cfRule type="cellIs" dxfId="3" priority="9" operator="equal">
      <formula>"Gaji"</formula>
    </cfRule>
  </conditionalFormatting>
  <conditionalFormatting sqref="E6:E15">
    <cfRule type="cellIs" dxfId="2" priority="15" operator="equal">
      <formula>"N/A"</formula>
    </cfRule>
    <cfRule type="cellIs" dxfId="1" priority="16" operator="equal">
      <formula>"Digital"</formula>
    </cfRule>
    <cfRule type="cellIs" dxfId="0" priority="17" operator="equal">
      <formula>"Tunai"</formula>
    </cfRule>
  </conditionalFormatting>
  <dataValidations count="3">
    <dataValidation type="list" allowBlank="1" showInputMessage="1" showErrorMessage="1" sqref="D6:D15" xr:uid="{5E645933-742C-4E5B-8EEF-8F3FA1C5C513}">
      <formula1>INDIRECT(C6)</formula1>
    </dataValidation>
    <dataValidation type="list" allowBlank="1" showInputMessage="1" showErrorMessage="1" sqref="C6:C15" xr:uid="{78969D9D-E5E3-4F28-B65E-4D126E8F6E6F}">
      <formula1>"Uang_Bulanan, Sisa, Transisi, N_A"</formula1>
    </dataValidation>
    <dataValidation type="list" allowBlank="1" showInputMessage="1" showErrorMessage="1" sqref="E6:E15" xr:uid="{DE9256F6-60D4-4058-AA42-595BB5AE5DCE}">
      <formula1>IF(OR(D6="Deposit",D6="Tarik Tunai"),Transisi_NA,Pembayaran)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00A7-3E31-4976-8B61-4E49E182E904}">
  <dimension ref="B2:M84"/>
  <sheetViews>
    <sheetView zoomScale="85" zoomScaleNormal="85" workbookViewId="0">
      <selection activeCell="I9" sqref="I9"/>
    </sheetView>
  </sheetViews>
  <sheetFormatPr defaultColWidth="18.77734375" defaultRowHeight="14.4" customHeight="1" x14ac:dyDescent="0.3"/>
  <cols>
    <col min="1" max="1" width="3.77734375" customWidth="1"/>
  </cols>
  <sheetData>
    <row r="2" spans="2:13" ht="14.4" customHeight="1" x14ac:dyDescent="0.3">
      <c r="B2" s="174" t="s">
        <v>60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6"/>
    </row>
    <row r="3" spans="2:13" ht="14.4" customHeight="1" x14ac:dyDescent="0.3">
      <c r="B3" s="177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9"/>
    </row>
    <row r="4" spans="2:13" ht="14.4" customHeight="1" x14ac:dyDescent="0.3">
      <c r="B4" s="180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2"/>
    </row>
    <row r="6" spans="2:13" ht="14.4" customHeight="1" x14ac:dyDescent="0.3">
      <c r="B6" s="186" t="s">
        <v>84</v>
      </c>
      <c r="C6" s="3" t="s">
        <v>6</v>
      </c>
      <c r="D6" s="3" t="s">
        <v>7</v>
      </c>
      <c r="E6" s="3" t="s">
        <v>8</v>
      </c>
      <c r="F6" s="3" t="s">
        <v>71</v>
      </c>
      <c r="G6" s="3" t="s">
        <v>72</v>
      </c>
    </row>
    <row r="7" spans="2:13" ht="14.4" customHeight="1" x14ac:dyDescent="0.3">
      <c r="B7" s="186"/>
      <c r="C7" s="2" t="s">
        <v>18</v>
      </c>
      <c r="D7" s="2" t="s">
        <v>18</v>
      </c>
      <c r="E7" s="2" t="s">
        <v>18</v>
      </c>
      <c r="F7" s="2" t="s">
        <v>29</v>
      </c>
      <c r="G7" s="2" t="s">
        <v>18</v>
      </c>
    </row>
    <row r="8" spans="2:13" ht="14.4" customHeight="1" x14ac:dyDescent="0.3">
      <c r="B8" s="186"/>
      <c r="C8" s="2" t="s">
        <v>29</v>
      </c>
      <c r="D8" s="2" t="s">
        <v>29</v>
      </c>
      <c r="E8" s="2" t="s">
        <v>29</v>
      </c>
      <c r="F8" s="2" t="s">
        <v>100</v>
      </c>
      <c r="G8" s="2" t="s">
        <v>29</v>
      </c>
    </row>
    <row r="9" spans="2:13" ht="14.4" customHeight="1" x14ac:dyDescent="0.3">
      <c r="B9" s="186"/>
      <c r="C9" s="2" t="s">
        <v>23</v>
      </c>
      <c r="D9" s="2" t="s">
        <v>28</v>
      </c>
      <c r="E9" s="2" t="s">
        <v>24</v>
      </c>
      <c r="F9" s="2"/>
      <c r="G9" s="2" t="s">
        <v>66</v>
      </c>
    </row>
    <row r="10" spans="2:13" ht="14.4" customHeight="1" x14ac:dyDescent="0.3">
      <c r="B10" s="186"/>
      <c r="C10" s="2" t="s">
        <v>89</v>
      </c>
      <c r="D10" s="2" t="s">
        <v>19</v>
      </c>
      <c r="E10" s="2" t="s">
        <v>90</v>
      </c>
      <c r="F10" s="2"/>
      <c r="G10" s="2"/>
    </row>
    <row r="11" spans="2:13" ht="14.4" customHeight="1" x14ac:dyDescent="0.3">
      <c r="B11" s="186"/>
      <c r="C11" s="2" t="s">
        <v>27</v>
      </c>
      <c r="D11" s="2" t="s">
        <v>27</v>
      </c>
      <c r="E11" s="2" t="s">
        <v>27</v>
      </c>
      <c r="F11" s="2"/>
      <c r="G11" s="2"/>
    </row>
    <row r="12" spans="2:13" ht="14.4" customHeight="1" x14ac:dyDescent="0.3">
      <c r="B12" s="186"/>
      <c r="C12" s="2"/>
      <c r="D12" s="2" t="s">
        <v>25</v>
      </c>
      <c r="E12" s="2" t="s">
        <v>25</v>
      </c>
      <c r="F12" s="2"/>
      <c r="G12" s="2"/>
    </row>
    <row r="13" spans="2:13" ht="14.4" customHeight="1" x14ac:dyDescent="0.3">
      <c r="B13" s="186"/>
      <c r="C13" s="2"/>
      <c r="D13" s="2" t="s">
        <v>180</v>
      </c>
      <c r="E13" s="2" t="s">
        <v>180</v>
      </c>
      <c r="F13" s="2"/>
      <c r="G13" s="2"/>
    </row>
    <row r="14" spans="2:13" ht="14.4" customHeight="1" x14ac:dyDescent="0.3">
      <c r="B14" s="186"/>
      <c r="C14" s="2"/>
      <c r="D14" s="2"/>
      <c r="E14" s="2"/>
      <c r="F14" s="2"/>
      <c r="G14" s="2"/>
    </row>
    <row r="15" spans="2:13" ht="14.4" customHeight="1" x14ac:dyDescent="0.3">
      <c r="B15" s="186"/>
      <c r="C15" s="2"/>
      <c r="D15" s="2"/>
      <c r="E15" s="2"/>
      <c r="F15" s="2"/>
      <c r="G15" s="2"/>
    </row>
    <row r="16" spans="2:13" ht="14.4" customHeight="1" x14ac:dyDescent="0.3">
      <c r="B16" s="2" t="s">
        <v>86</v>
      </c>
      <c r="C16" s="2" t="s">
        <v>124</v>
      </c>
      <c r="D16" s="2" t="s">
        <v>126</v>
      </c>
      <c r="E16" s="2" t="s">
        <v>128</v>
      </c>
      <c r="F16" s="2" t="s">
        <v>130</v>
      </c>
      <c r="G16" s="2" t="s">
        <v>132</v>
      </c>
    </row>
    <row r="17" spans="2:13" ht="14.4" customHeight="1" x14ac:dyDescent="0.3">
      <c r="B17" s="2" t="s">
        <v>87</v>
      </c>
      <c r="C17" s="2" t="s">
        <v>125</v>
      </c>
      <c r="D17" s="2" t="s">
        <v>127</v>
      </c>
      <c r="E17" s="2" t="s">
        <v>129</v>
      </c>
      <c r="F17" s="2" t="s">
        <v>131</v>
      </c>
      <c r="G17" s="2" t="s">
        <v>133</v>
      </c>
    </row>
    <row r="18" spans="2:13" ht="14.4" customHeight="1" x14ac:dyDescent="0.3">
      <c r="B18" s="2" t="s">
        <v>118</v>
      </c>
      <c r="C18" s="2" t="s">
        <v>119</v>
      </c>
      <c r="D18" s="2" t="s">
        <v>120</v>
      </c>
      <c r="E18" s="2" t="s">
        <v>121</v>
      </c>
      <c r="F18" s="2" t="s">
        <v>122</v>
      </c>
      <c r="G18" s="2" t="s">
        <v>123</v>
      </c>
    </row>
    <row r="20" spans="2:13" ht="14.4" customHeight="1" x14ac:dyDescent="0.3">
      <c r="B20" s="183" t="s">
        <v>35</v>
      </c>
      <c r="C20" s="3" t="s">
        <v>10</v>
      </c>
      <c r="D20" s="3" t="s">
        <v>11</v>
      </c>
      <c r="E20" s="3" t="s">
        <v>12</v>
      </c>
      <c r="F20" s="3" t="s">
        <v>69</v>
      </c>
      <c r="G20" s="3" t="s">
        <v>14</v>
      </c>
      <c r="H20" s="3" t="s">
        <v>15</v>
      </c>
      <c r="I20" s="3" t="s">
        <v>16</v>
      </c>
      <c r="J20" s="3" t="s">
        <v>66</v>
      </c>
      <c r="K20" s="3" t="s">
        <v>77</v>
      </c>
      <c r="L20" s="3" t="s">
        <v>88</v>
      </c>
      <c r="M20" s="3" t="s">
        <v>17</v>
      </c>
    </row>
    <row r="21" spans="2:13" ht="14.4" customHeight="1" x14ac:dyDescent="0.3">
      <c r="B21" s="184"/>
      <c r="C21" s="2" t="s">
        <v>20</v>
      </c>
      <c r="D21" s="2" t="s">
        <v>20</v>
      </c>
      <c r="E21" s="2" t="s">
        <v>30</v>
      </c>
      <c r="F21" s="2" t="s">
        <v>70</v>
      </c>
      <c r="G21" s="2" t="s">
        <v>91</v>
      </c>
      <c r="H21" s="2" t="s">
        <v>92</v>
      </c>
      <c r="I21" s="2" t="s">
        <v>21</v>
      </c>
      <c r="J21" s="2" t="s">
        <v>67</v>
      </c>
      <c r="K21" s="2" t="s">
        <v>82</v>
      </c>
      <c r="L21" s="2" t="s">
        <v>81</v>
      </c>
      <c r="M21" s="2" t="s">
        <v>22</v>
      </c>
    </row>
    <row r="22" spans="2:13" ht="14.4" customHeight="1" x14ac:dyDescent="0.3">
      <c r="B22" s="184"/>
      <c r="C22" s="2" t="s">
        <v>22</v>
      </c>
      <c r="D22" s="2" t="s">
        <v>22</v>
      </c>
      <c r="E22" s="2"/>
      <c r="F22" s="2" t="s">
        <v>13</v>
      </c>
      <c r="G22" s="2"/>
      <c r="H22" s="2"/>
      <c r="I22" s="2"/>
      <c r="J22" s="2" t="s">
        <v>68</v>
      </c>
      <c r="K22" s="2"/>
      <c r="L22" s="2" t="s">
        <v>78</v>
      </c>
      <c r="M22" s="2" t="s">
        <v>93</v>
      </c>
    </row>
    <row r="23" spans="2:13" ht="14.4" customHeight="1" x14ac:dyDescent="0.3">
      <c r="B23" s="184"/>
      <c r="C23" s="2" t="s">
        <v>93</v>
      </c>
      <c r="D23" s="2" t="s">
        <v>93</v>
      </c>
      <c r="E23" s="2"/>
      <c r="F23" s="2"/>
      <c r="G23" s="2"/>
      <c r="H23" s="2"/>
      <c r="I23" s="2"/>
      <c r="J23" s="2"/>
      <c r="K23" s="2"/>
      <c r="L23" s="2" t="s">
        <v>79</v>
      </c>
      <c r="M23" s="2"/>
    </row>
    <row r="24" spans="2:13" ht="14.4" customHeight="1" x14ac:dyDescent="0.3">
      <c r="B24" s="184"/>
      <c r="C24" s="2" t="s">
        <v>26</v>
      </c>
      <c r="D24" s="2" t="s">
        <v>26</v>
      </c>
      <c r="E24" s="2"/>
      <c r="F24" s="2"/>
      <c r="G24" s="2"/>
      <c r="H24" s="2"/>
      <c r="I24" s="2"/>
      <c r="J24" s="2"/>
      <c r="K24" s="2"/>
      <c r="L24" s="2" t="s">
        <v>80</v>
      </c>
      <c r="M24" s="2"/>
    </row>
    <row r="25" spans="2:13" ht="14.4" customHeight="1" x14ac:dyDescent="0.3">
      <c r="B25" s="18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2:13" ht="14.4" customHeight="1" x14ac:dyDescent="0.3">
      <c r="B26" s="18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2:13" ht="14.4" customHeight="1" x14ac:dyDescent="0.3">
      <c r="B27" s="18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ht="14.4" customHeight="1" x14ac:dyDescent="0.3">
      <c r="B28" s="18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2:13" ht="14.4" customHeight="1" x14ac:dyDescent="0.3">
      <c r="B29" s="18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2:13" ht="14.4" customHeight="1" x14ac:dyDescent="0.3">
      <c r="B30" s="2" t="s">
        <v>86</v>
      </c>
      <c r="C30" s="2" t="s">
        <v>137</v>
      </c>
      <c r="D30" s="2" t="s">
        <v>139</v>
      </c>
      <c r="E30" s="2" t="s">
        <v>141</v>
      </c>
      <c r="F30" s="2" t="s">
        <v>155</v>
      </c>
      <c r="G30" s="2" t="s">
        <v>157</v>
      </c>
      <c r="H30" s="2" t="s">
        <v>151</v>
      </c>
      <c r="I30" s="2" t="s">
        <v>152</v>
      </c>
      <c r="J30" s="2" t="s">
        <v>145</v>
      </c>
      <c r="K30" s="2" t="s">
        <v>173</v>
      </c>
      <c r="L30" s="2" t="s">
        <v>178</v>
      </c>
      <c r="M30" s="2" t="s">
        <v>147</v>
      </c>
    </row>
    <row r="31" spans="2:13" ht="14.4" customHeight="1" x14ac:dyDescent="0.3">
      <c r="B31" s="2" t="s">
        <v>87</v>
      </c>
      <c r="C31" s="2" t="s">
        <v>138</v>
      </c>
      <c r="D31" s="2" t="s">
        <v>140</v>
      </c>
      <c r="E31" s="2" t="s">
        <v>142</v>
      </c>
      <c r="F31" s="2" t="s">
        <v>156</v>
      </c>
      <c r="G31" s="2" t="s">
        <v>158</v>
      </c>
      <c r="H31" s="2" t="s">
        <v>152</v>
      </c>
      <c r="I31" s="2" t="s">
        <v>153</v>
      </c>
      <c r="J31" s="2" t="s">
        <v>146</v>
      </c>
      <c r="K31" s="2" t="s">
        <v>171</v>
      </c>
      <c r="L31" s="2" t="s">
        <v>179</v>
      </c>
      <c r="M31" s="2" t="s">
        <v>148</v>
      </c>
    </row>
    <row r="32" spans="2:13" ht="14.4" customHeight="1" x14ac:dyDescent="0.3">
      <c r="B32" s="2" t="s">
        <v>118</v>
      </c>
      <c r="C32" s="2" t="s">
        <v>134</v>
      </c>
      <c r="D32" s="2" t="s">
        <v>135</v>
      </c>
      <c r="E32" s="2" t="s">
        <v>136</v>
      </c>
      <c r="F32" s="2" t="s">
        <v>160</v>
      </c>
      <c r="G32" s="2" t="s">
        <v>154</v>
      </c>
      <c r="H32" s="2" t="s">
        <v>149</v>
      </c>
      <c r="I32" s="2" t="s">
        <v>150</v>
      </c>
      <c r="J32" s="2" t="s">
        <v>143</v>
      </c>
      <c r="K32" s="2" t="s">
        <v>172</v>
      </c>
      <c r="L32" s="2" t="s">
        <v>177</v>
      </c>
      <c r="M32" s="2" t="s">
        <v>144</v>
      </c>
    </row>
    <row r="34" spans="2:7" ht="14.4" customHeight="1" x14ac:dyDescent="0.3">
      <c r="B34" s="183" t="s">
        <v>85</v>
      </c>
      <c r="C34" s="3" t="s">
        <v>193</v>
      </c>
    </row>
    <row r="35" spans="2:7" ht="14.4" customHeight="1" x14ac:dyDescent="0.3">
      <c r="B35" s="184"/>
      <c r="C35" s="8" t="s">
        <v>181</v>
      </c>
      <c r="F35" s="10"/>
    </row>
    <row r="36" spans="2:7" ht="14.4" customHeight="1" x14ac:dyDescent="0.3">
      <c r="B36" s="184"/>
      <c r="C36" s="8" t="s">
        <v>94</v>
      </c>
    </row>
    <row r="37" spans="2:7" ht="14.4" customHeight="1" x14ac:dyDescent="0.3">
      <c r="B37" s="184"/>
      <c r="C37" s="8" t="s">
        <v>95</v>
      </c>
    </row>
    <row r="38" spans="2:7" ht="14.4" customHeight="1" x14ac:dyDescent="0.3">
      <c r="B38" s="184"/>
      <c r="C38" s="8" t="s">
        <v>182</v>
      </c>
    </row>
    <row r="39" spans="2:7" ht="14.4" customHeight="1" x14ac:dyDescent="0.3">
      <c r="B39" s="184"/>
      <c r="C39" s="8" t="s">
        <v>121</v>
      </c>
    </row>
    <row r="40" spans="2:7" ht="14.4" customHeight="1" x14ac:dyDescent="0.3">
      <c r="B40" s="184"/>
      <c r="C40" s="8" t="s">
        <v>203</v>
      </c>
    </row>
    <row r="41" spans="2:7" ht="14.4" customHeight="1" x14ac:dyDescent="0.3">
      <c r="B41" s="184"/>
      <c r="C41" s="8"/>
    </row>
    <row r="42" spans="2:7" ht="14.4" customHeight="1" x14ac:dyDescent="0.3">
      <c r="B42" s="184"/>
      <c r="C42" s="8"/>
    </row>
    <row r="43" spans="2:7" ht="14.4" customHeight="1" x14ac:dyDescent="0.3">
      <c r="B43" s="185"/>
      <c r="C43" s="8"/>
    </row>
    <row r="44" spans="2:7" ht="14.4" customHeight="1" x14ac:dyDescent="0.3">
      <c r="B44" s="2" t="s">
        <v>86</v>
      </c>
      <c r="C44" s="2" t="s">
        <v>139</v>
      </c>
    </row>
    <row r="45" spans="2:7" ht="14.4" customHeight="1" x14ac:dyDescent="0.3">
      <c r="B45" s="2" t="s">
        <v>87</v>
      </c>
      <c r="C45" s="2" t="s">
        <v>140</v>
      </c>
    </row>
    <row r="46" spans="2:7" ht="14.4" customHeight="1" x14ac:dyDescent="0.3">
      <c r="B46" s="2" t="s">
        <v>118</v>
      </c>
      <c r="C46" s="2" t="s">
        <v>135</v>
      </c>
    </row>
    <row r="48" spans="2:7" ht="14.4" customHeight="1" x14ac:dyDescent="0.3">
      <c r="B48" s="183" t="s">
        <v>61</v>
      </c>
      <c r="C48" s="3" t="s">
        <v>53</v>
      </c>
      <c r="D48" s="3" t="s">
        <v>73</v>
      </c>
      <c r="E48" s="3" t="s">
        <v>74</v>
      </c>
      <c r="F48" s="3" t="s">
        <v>9</v>
      </c>
      <c r="G48" s="3" t="s">
        <v>34</v>
      </c>
    </row>
    <row r="49" spans="2:7" ht="14.4" customHeight="1" x14ac:dyDescent="0.3">
      <c r="B49" s="184"/>
      <c r="C49" s="2" t="s">
        <v>56</v>
      </c>
      <c r="D49" s="2" t="s">
        <v>75</v>
      </c>
      <c r="E49" s="2" t="s">
        <v>183</v>
      </c>
      <c r="F49" s="2" t="s">
        <v>9</v>
      </c>
      <c r="G49" s="2" t="s">
        <v>45</v>
      </c>
    </row>
    <row r="50" spans="2:7" ht="14.4" customHeight="1" x14ac:dyDescent="0.3">
      <c r="B50" s="184"/>
      <c r="C50" s="2" t="s">
        <v>54</v>
      </c>
      <c r="D50" s="2"/>
      <c r="E50" s="2" t="s">
        <v>76</v>
      </c>
      <c r="F50" s="2"/>
      <c r="G50" s="2" t="s">
        <v>43</v>
      </c>
    </row>
    <row r="51" spans="2:7" ht="14.4" customHeight="1" x14ac:dyDescent="0.3">
      <c r="B51" s="184"/>
      <c r="C51" s="2" t="s">
        <v>55</v>
      </c>
      <c r="D51" s="2"/>
      <c r="E51" s="2"/>
      <c r="F51" s="2"/>
      <c r="G51" s="2" t="s">
        <v>9</v>
      </c>
    </row>
    <row r="52" spans="2:7" ht="14.4" customHeight="1" x14ac:dyDescent="0.3">
      <c r="B52" s="184"/>
      <c r="C52" s="2"/>
      <c r="D52" s="2"/>
      <c r="E52" s="2"/>
      <c r="F52" s="2"/>
      <c r="G52" s="9"/>
    </row>
    <row r="53" spans="2:7" ht="14.4" customHeight="1" x14ac:dyDescent="0.3">
      <c r="B53" s="184"/>
      <c r="C53" s="2"/>
      <c r="D53" s="2"/>
      <c r="E53" s="2"/>
      <c r="F53" s="2"/>
      <c r="G53" s="2"/>
    </row>
    <row r="54" spans="2:7" ht="14.4" customHeight="1" x14ac:dyDescent="0.3">
      <c r="B54" s="184"/>
      <c r="C54" s="2"/>
      <c r="D54" s="2"/>
      <c r="E54" s="2"/>
      <c r="F54" s="2"/>
      <c r="G54" s="2"/>
    </row>
    <row r="55" spans="2:7" ht="14.4" customHeight="1" x14ac:dyDescent="0.3">
      <c r="B55" s="184"/>
      <c r="C55" s="2"/>
      <c r="D55" s="2"/>
      <c r="E55" s="2"/>
      <c r="F55" s="2"/>
      <c r="G55" s="2"/>
    </row>
    <row r="56" spans="2:7" ht="14.4" customHeight="1" x14ac:dyDescent="0.3">
      <c r="B56" s="184"/>
      <c r="C56" s="2"/>
      <c r="D56" s="2"/>
      <c r="E56" s="2"/>
      <c r="F56" s="2"/>
      <c r="G56" s="2"/>
    </row>
    <row r="57" spans="2:7" ht="14.4" customHeight="1" x14ac:dyDescent="0.3">
      <c r="B57" s="185"/>
      <c r="C57" s="2"/>
      <c r="D57" s="2"/>
      <c r="E57" s="2"/>
      <c r="F57" s="2"/>
      <c r="G57" s="2" t="s">
        <v>9</v>
      </c>
    </row>
    <row r="58" spans="2:7" ht="14.4" customHeight="1" x14ac:dyDescent="0.3">
      <c r="B58" s="2" t="s">
        <v>86</v>
      </c>
      <c r="C58" s="2" t="s">
        <v>166</v>
      </c>
      <c r="D58" s="2" t="s">
        <v>168</v>
      </c>
      <c r="E58" s="2" t="s">
        <v>170</v>
      </c>
      <c r="F58" s="2" t="s">
        <v>175</v>
      </c>
      <c r="G58" s="2" t="s">
        <v>161</v>
      </c>
    </row>
    <row r="59" spans="2:7" ht="14.4" customHeight="1" x14ac:dyDescent="0.3">
      <c r="B59" s="2" t="s">
        <v>87</v>
      </c>
      <c r="C59" s="2" t="s">
        <v>167</v>
      </c>
      <c r="D59" s="2" t="s">
        <v>169</v>
      </c>
      <c r="E59" s="2" t="s">
        <v>171</v>
      </c>
      <c r="F59" s="2" t="s">
        <v>176</v>
      </c>
      <c r="G59" s="2" t="s">
        <v>162</v>
      </c>
    </row>
    <row r="60" spans="2:7" ht="14.4" customHeight="1" x14ac:dyDescent="0.3">
      <c r="B60" s="2" t="s">
        <v>118</v>
      </c>
      <c r="C60" s="2" t="s">
        <v>163</v>
      </c>
      <c r="D60" s="2" t="s">
        <v>164</v>
      </c>
      <c r="E60" s="2" t="s">
        <v>165</v>
      </c>
      <c r="F60" s="2" t="s">
        <v>174</v>
      </c>
      <c r="G60" s="2" t="s">
        <v>159</v>
      </c>
    </row>
    <row r="62" spans="2:7" ht="14.4" customHeight="1" x14ac:dyDescent="0.3">
      <c r="B62" s="3" t="s">
        <v>184</v>
      </c>
      <c r="C62" s="3" t="s">
        <v>185</v>
      </c>
      <c r="D62" s="3" t="s">
        <v>186</v>
      </c>
      <c r="E62" s="3" t="s">
        <v>187</v>
      </c>
    </row>
    <row r="63" spans="2:7" ht="14.4" customHeight="1" x14ac:dyDescent="0.3">
      <c r="B63" s="173" t="s">
        <v>188</v>
      </c>
      <c r="C63" s="1" t="s">
        <v>189</v>
      </c>
      <c r="D63" s="1">
        <v>14.4</v>
      </c>
      <c r="E63" s="1">
        <v>3</v>
      </c>
    </row>
    <row r="64" spans="2:7" ht="14.4" customHeight="1" x14ac:dyDescent="0.3">
      <c r="B64" s="173"/>
      <c r="C64" s="1" t="s">
        <v>190</v>
      </c>
      <c r="D64" s="1">
        <v>14.4</v>
      </c>
      <c r="E64" s="1">
        <v>11</v>
      </c>
    </row>
    <row r="65" spans="2:5" ht="14.4" customHeight="1" x14ac:dyDescent="0.3">
      <c r="B65" s="173" t="s">
        <v>31</v>
      </c>
      <c r="C65" s="1" t="s">
        <v>189</v>
      </c>
      <c r="D65" s="1">
        <v>19.8</v>
      </c>
      <c r="E65" s="1">
        <v>3</v>
      </c>
    </row>
    <row r="66" spans="2:5" ht="14.4" customHeight="1" x14ac:dyDescent="0.3">
      <c r="B66" s="173"/>
      <c r="C66" s="1" t="s">
        <v>190</v>
      </c>
      <c r="D66" s="1">
        <v>19.8</v>
      </c>
      <c r="E66" s="1">
        <v>11</v>
      </c>
    </row>
    <row r="67" spans="2:5" ht="14.4" customHeight="1" x14ac:dyDescent="0.3">
      <c r="B67" s="173" t="s">
        <v>32</v>
      </c>
      <c r="C67" s="1" t="s">
        <v>189</v>
      </c>
      <c r="D67" s="1">
        <v>14.4</v>
      </c>
      <c r="E67" s="1">
        <v>3</v>
      </c>
    </row>
    <row r="68" spans="2:5" ht="14.4" customHeight="1" x14ac:dyDescent="0.3">
      <c r="B68" s="173"/>
      <c r="C68" s="1" t="s">
        <v>0</v>
      </c>
      <c r="D68" s="1">
        <v>14.4</v>
      </c>
      <c r="E68" s="1">
        <v>4.8899999999999997</v>
      </c>
    </row>
    <row r="69" spans="2:5" ht="14.4" customHeight="1" x14ac:dyDescent="0.3">
      <c r="B69" s="173"/>
      <c r="C69" s="1" t="s">
        <v>1</v>
      </c>
      <c r="D69" s="1">
        <v>14.4</v>
      </c>
      <c r="E69" s="1">
        <v>19.89</v>
      </c>
    </row>
    <row r="70" spans="2:5" ht="14.4" customHeight="1" x14ac:dyDescent="0.3">
      <c r="B70" s="173"/>
      <c r="C70" s="1" t="s">
        <v>2</v>
      </c>
      <c r="D70" s="1">
        <v>14.4</v>
      </c>
      <c r="E70" s="1">
        <v>19.89</v>
      </c>
    </row>
    <row r="71" spans="2:5" ht="14.4" customHeight="1" x14ac:dyDescent="0.3">
      <c r="B71" s="173"/>
      <c r="C71" s="1" t="s">
        <v>34</v>
      </c>
      <c r="D71" s="1">
        <v>14.4</v>
      </c>
      <c r="E71" s="1">
        <v>12.11</v>
      </c>
    </row>
    <row r="72" spans="2:5" ht="14.4" customHeight="1" x14ac:dyDescent="0.3">
      <c r="B72" s="173"/>
      <c r="C72" s="1" t="s">
        <v>3</v>
      </c>
      <c r="D72" s="1">
        <v>14.4</v>
      </c>
      <c r="E72" s="1">
        <v>12.11</v>
      </c>
    </row>
    <row r="73" spans="2:5" ht="14.4" customHeight="1" x14ac:dyDescent="0.3">
      <c r="B73" s="173"/>
      <c r="C73" s="1" t="s">
        <v>4</v>
      </c>
      <c r="D73" s="1">
        <v>14.4</v>
      </c>
      <c r="E73" s="1">
        <v>14.78</v>
      </c>
    </row>
    <row r="74" spans="2:5" ht="14.4" customHeight="1" x14ac:dyDescent="0.3">
      <c r="B74" s="173"/>
      <c r="C74" s="1" t="s">
        <v>5</v>
      </c>
      <c r="D74" s="1">
        <v>14.4</v>
      </c>
      <c r="E74" s="1">
        <v>16.78</v>
      </c>
    </row>
    <row r="75" spans="2:5" ht="14.4" customHeight="1" x14ac:dyDescent="0.3">
      <c r="B75" s="173" t="s">
        <v>61</v>
      </c>
      <c r="C75" s="1" t="s">
        <v>189</v>
      </c>
      <c r="D75" s="1">
        <v>14.4</v>
      </c>
      <c r="E75" s="1">
        <v>3</v>
      </c>
    </row>
    <row r="76" spans="2:5" ht="14.4" customHeight="1" x14ac:dyDescent="0.3">
      <c r="B76" s="173"/>
      <c r="C76" s="1" t="s">
        <v>0</v>
      </c>
      <c r="D76" s="1">
        <v>14.4</v>
      </c>
      <c r="E76" s="1">
        <v>4.8899999999999997</v>
      </c>
    </row>
    <row r="77" spans="2:5" ht="14.4" customHeight="1" x14ac:dyDescent="0.3">
      <c r="B77" s="173"/>
      <c r="C77" s="1" t="s">
        <v>1</v>
      </c>
      <c r="D77" s="1">
        <v>14.4</v>
      </c>
      <c r="E77" s="1">
        <v>19.89</v>
      </c>
    </row>
    <row r="78" spans="2:5" ht="14.4" customHeight="1" x14ac:dyDescent="0.3">
      <c r="B78" s="173"/>
      <c r="C78" s="1" t="s">
        <v>2</v>
      </c>
      <c r="D78" s="1">
        <v>14.4</v>
      </c>
      <c r="E78" s="1">
        <v>19.89</v>
      </c>
    </row>
    <row r="79" spans="2:5" ht="14.4" customHeight="1" x14ac:dyDescent="0.3">
      <c r="B79" s="173"/>
      <c r="C79" s="1" t="s">
        <v>34</v>
      </c>
      <c r="D79" s="1">
        <v>14.4</v>
      </c>
      <c r="E79" s="1">
        <v>12.11</v>
      </c>
    </row>
    <row r="80" spans="2:5" ht="14.4" customHeight="1" x14ac:dyDescent="0.3">
      <c r="B80" s="173"/>
      <c r="C80" s="1" t="s">
        <v>3</v>
      </c>
      <c r="D80" s="1">
        <v>14.4</v>
      </c>
      <c r="E80" s="1">
        <v>12.11</v>
      </c>
    </row>
    <row r="81" spans="2:5" ht="14.4" customHeight="1" x14ac:dyDescent="0.3">
      <c r="B81" s="173"/>
      <c r="C81" s="1" t="s">
        <v>4</v>
      </c>
      <c r="D81" s="1">
        <v>14.4</v>
      </c>
      <c r="E81" s="1">
        <v>14.78</v>
      </c>
    </row>
    <row r="82" spans="2:5" ht="14.4" customHeight="1" x14ac:dyDescent="0.3">
      <c r="B82" s="173"/>
      <c r="C82" s="1" t="s">
        <v>5</v>
      </c>
      <c r="D82" s="1">
        <v>14.4</v>
      </c>
      <c r="E82" s="1">
        <v>16.78</v>
      </c>
    </row>
    <row r="83" spans="2:5" ht="14.4" customHeight="1" x14ac:dyDescent="0.3">
      <c r="B83" s="173" t="s">
        <v>60</v>
      </c>
      <c r="C83" s="1" t="s">
        <v>189</v>
      </c>
      <c r="D83" s="1">
        <v>14.4</v>
      </c>
      <c r="E83" s="1">
        <v>3</v>
      </c>
    </row>
    <row r="84" spans="2:5" ht="14.4" customHeight="1" x14ac:dyDescent="0.3">
      <c r="B84" s="173"/>
      <c r="C84" s="1" t="s">
        <v>190</v>
      </c>
      <c r="D84" s="1">
        <v>14.4</v>
      </c>
      <c r="E84" s="1">
        <v>18</v>
      </c>
    </row>
  </sheetData>
  <mergeCells count="10">
    <mergeCell ref="B83:B84"/>
    <mergeCell ref="B63:B64"/>
    <mergeCell ref="B2:M4"/>
    <mergeCell ref="B65:B66"/>
    <mergeCell ref="B67:B74"/>
    <mergeCell ref="B75:B82"/>
    <mergeCell ref="B48:B57"/>
    <mergeCell ref="B6:B15"/>
    <mergeCell ref="B34:B43"/>
    <mergeCell ref="B20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23</vt:i4>
      </vt:variant>
    </vt:vector>
  </HeadingPairs>
  <TitlesOfParts>
    <vt:vector size="28" baseType="lpstr">
      <vt:lpstr>Dashboard</vt:lpstr>
      <vt:lpstr>Detail Transaksi</vt:lpstr>
      <vt:lpstr>Pengeluaran</vt:lpstr>
      <vt:lpstr>Pendapatan</vt:lpstr>
      <vt:lpstr>Pendukung</vt:lpstr>
      <vt:lpstr>Alfamart</vt:lpstr>
      <vt:lpstr>Bank</vt:lpstr>
      <vt:lpstr>Beli</vt:lpstr>
      <vt:lpstr>Bluebird</vt:lpstr>
      <vt:lpstr>Buka_Puasa</vt:lpstr>
      <vt:lpstr>Event_Lomba</vt:lpstr>
      <vt:lpstr>Gojek</vt:lpstr>
      <vt:lpstr>Indomaret</vt:lpstr>
      <vt:lpstr>Jajan</vt:lpstr>
      <vt:lpstr>Makan_Malam</vt:lpstr>
      <vt:lpstr>Makan_Siang</vt:lpstr>
      <vt:lpstr>N_A</vt:lpstr>
      <vt:lpstr>Pembayaran</vt:lpstr>
      <vt:lpstr>Pemeliharaan</vt:lpstr>
      <vt:lpstr>Sahur</vt:lpstr>
      <vt:lpstr>Sarapan</vt:lpstr>
      <vt:lpstr>Sisa</vt:lpstr>
      <vt:lpstr>Superindo</vt:lpstr>
      <vt:lpstr>Telkomsel</vt:lpstr>
      <vt:lpstr>Tokopedia</vt:lpstr>
      <vt:lpstr>Transisi</vt:lpstr>
      <vt:lpstr>Transisi_NA</vt:lpstr>
      <vt:lpstr>Uang_Bulanan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14s</cp:lastModifiedBy>
  <dcterms:created xsi:type="dcterms:W3CDTF">2015-06-05T18:17:20Z</dcterms:created>
  <dcterms:modified xsi:type="dcterms:W3CDTF">2025-10-07T11:19:57Z</dcterms:modified>
</cp:coreProperties>
</file>