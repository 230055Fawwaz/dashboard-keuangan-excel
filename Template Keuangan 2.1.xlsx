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570F4E9B-E7DA-4BA7-9A28-3A5C50388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Utama" sheetId="1" r:id="rId1"/>
  </sheets>
  <definedNames>
    <definedName name="Makan_Malam">#REF!</definedName>
    <definedName name="Makan_Siang">#REF!</definedName>
    <definedName name="Makan_Siang_Malam">#REF!</definedName>
    <definedName name="Sarap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1" i="1" l="1"/>
  <c r="O80" i="1"/>
  <c r="I84" i="1"/>
  <c r="I83" i="1"/>
  <c r="I82" i="1"/>
  <c r="I81" i="1"/>
  <c r="I80" i="1"/>
  <c r="C83" i="1"/>
  <c r="B93" i="1" s="1"/>
  <c r="W11" i="1"/>
  <c r="T91" i="1" s="1"/>
  <c r="Q80" i="1"/>
  <c r="Q11" i="1"/>
  <c r="T90" i="1" s="1"/>
  <c r="U83" i="1" l="1"/>
  <c r="K11" i="1"/>
  <c r="B92" i="1" s="1"/>
  <c r="E11" i="1"/>
  <c r="T92" i="1" l="1"/>
  <c r="B91" i="1"/>
</calcChain>
</file>

<file path=xl/sharedStrings.xml><?xml version="1.0" encoding="utf-8"?>
<sst xmlns="http://schemas.openxmlformats.org/spreadsheetml/2006/main" count="288" uniqueCount="28">
  <si>
    <t>No</t>
  </si>
  <si>
    <t>Detail</t>
  </si>
  <si>
    <t>Tanggal</t>
  </si>
  <si>
    <t>Harga</t>
  </si>
  <si>
    <t>Total</t>
  </si>
  <si>
    <t>….</t>
  </si>
  <si>
    <t>Kebutuhan Lain</t>
  </si>
  <si>
    <t>…</t>
  </si>
  <si>
    <t>Uang Tunai</t>
  </si>
  <si>
    <t>Detail Transaksi</t>
  </si>
  <si>
    <t>Budget Awal</t>
  </si>
  <si>
    <t>Uang Digital</t>
  </si>
  <si>
    <t>Budget Akhir</t>
  </si>
  <si>
    <t>Pengeluaran per Minggu</t>
  </si>
  <si>
    <t>Minggu 1</t>
  </si>
  <si>
    <t>Minggu 2</t>
  </si>
  <si>
    <t>Minggu 3</t>
  </si>
  <si>
    <t>Minggu 4</t>
  </si>
  <si>
    <t>Catatan</t>
  </si>
  <si>
    <t>Ubah tanggal sesuai</t>
  </si>
  <si>
    <t>Bulan</t>
  </si>
  <si>
    <t>Minggu 5</t>
  </si>
  <si>
    <t>Budget Maksimal per Hari</t>
  </si>
  <si>
    <t>Sisa Hari</t>
  </si>
  <si>
    <t>Makanan Pokok</t>
  </si>
  <si>
    <t>Uang tunai</t>
  </si>
  <si>
    <t>General</t>
  </si>
  <si>
    <t>Template Keuangan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</si>
</sst>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3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2-42DE-BB7B-3AA6748DB81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2-42DE-BB7B-3AA6748DB81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2-42DE-BB7B-3AA6748DB8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'Sheet Utama'!$B$91:$B$93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B-45F6-A61E-21C2812787DA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A7-41F9-B73E-F63F3EF537D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A7-41F9-B73E-F63F3EF537D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6-4C8C-8790-B61FAA240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 Pokok</c:v>
              </c:pt>
              <c:pt idx="1">
                <c:v>Kebutuhan Lain</c:v>
              </c:pt>
              <c:pt idx="2">
                <c:v>Sisa Uang</c:v>
              </c:pt>
            </c:strLit>
          </c:cat>
          <c:val>
            <c:numRef>
              <c:f>'Sheet Utama'!$T$90:$T$92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0-4CF7-A470-D1FF6AD405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Utama'!$I$80:$I$84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6C8-B20F-F46300A8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589631"/>
        <c:axId val="551590111"/>
      </c:lineChart>
      <c:catAx>
        <c:axId val="5515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90111"/>
        <c:crosses val="autoZero"/>
        <c:auto val="1"/>
        <c:lblAlgn val="ctr"/>
        <c:lblOffset val="100"/>
        <c:noMultiLvlLbl val="0"/>
      </c:catAx>
      <c:valAx>
        <c:axId val="5515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8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387926</xdr:colOff>
      <xdr:row>85</xdr:row>
      <xdr:rowOff>66902</xdr:rowOff>
    </xdr:from>
    <xdr:to>
      <xdr:col>7</xdr:col>
      <xdr:colOff>76200</xdr:colOff>
      <xdr:row>109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61A976-7B58-CE68-CFA0-E0655D946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889000</xdr:colOff>
      <xdr:row>85</xdr:row>
      <xdr:rowOff>46694</xdr:rowOff>
    </xdr:from>
    <xdr:to>
      <xdr:col>23</xdr:col>
      <xdr:colOff>2417</xdr:colOff>
      <xdr:row>109</xdr:row>
      <xdr:rowOff>50799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4DE588-658F-8CA8-CD8F-E115EF47F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420460</xdr:colOff>
      <xdr:row>85</xdr:row>
      <xdr:rowOff>82322</xdr:rowOff>
    </xdr:from>
    <xdr:to>
      <xdr:col>15</xdr:col>
      <xdr:colOff>546100</xdr:colOff>
      <xdr:row>109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482CE-F87F-E967-B1E8-6F1A2881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zoomScale="60" zoomScaleNormal="60" workbookViewId="0">
      <selection activeCell="A4" sqref="A4"/>
    </sheetView>
  </sheetViews>
  <sheetFormatPr defaultRowHeight="14.4" customHeight="1" x14ac:dyDescent="0.3"/>
  <cols>
    <col min="1" max="1" width="5.6640625" customWidth="1"/>
    <col min="2" max="2" width="20.5546875" customWidth="1"/>
    <col min="3" max="5" width="17.5546875" customWidth="1"/>
    <col min="7" max="7" width="5.6640625" customWidth="1"/>
    <col min="8" max="8" width="20.5546875" customWidth="1"/>
    <col min="9" max="11" width="17.5546875" customWidth="1"/>
    <col min="13" max="13" width="5.6640625" customWidth="1"/>
    <col min="14" max="14" width="20.5546875" customWidth="1"/>
    <col min="15" max="16" width="17.5546875" customWidth="1"/>
    <col min="17" max="17" width="17.6640625" customWidth="1"/>
    <col min="19" max="19" width="5.77734375" customWidth="1"/>
    <col min="20" max="20" width="20.5546875" customWidth="1"/>
    <col min="21" max="23" width="17.5546875" customWidth="1"/>
  </cols>
  <sheetData>
    <row r="1" spans="1:23" ht="14.4" customHeight="1" x14ac:dyDescent="0.3">
      <c r="A1" s="19" t="s">
        <v>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14.4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14.4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1:23" ht="14.4" customHeight="1" x14ac:dyDescent="0.3">
      <c r="A5" s="18" t="s">
        <v>11</v>
      </c>
      <c r="B5" s="18"/>
      <c r="C5" s="18"/>
      <c r="D5" s="18"/>
      <c r="E5" s="18"/>
      <c r="F5" s="18"/>
      <c r="G5" s="18"/>
      <c r="H5" s="18"/>
      <c r="I5" s="18"/>
      <c r="J5" s="18"/>
      <c r="K5" s="18"/>
      <c r="M5" s="26" t="s">
        <v>8</v>
      </c>
      <c r="N5" s="26"/>
      <c r="O5" s="26"/>
      <c r="P5" s="26"/>
      <c r="Q5" s="26"/>
      <c r="R5" s="26"/>
      <c r="S5" s="26"/>
      <c r="T5" s="26"/>
      <c r="U5" s="26"/>
      <c r="V5" s="26"/>
      <c r="W5" s="26"/>
    </row>
    <row r="6" spans="1:23" ht="14.4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8" spans="1:23" ht="14.4" customHeight="1" x14ac:dyDescent="0.3">
      <c r="A8" s="20" t="s">
        <v>24</v>
      </c>
      <c r="B8" s="21"/>
      <c r="C8" s="21"/>
      <c r="D8" s="21"/>
      <c r="E8" s="22"/>
      <c r="G8" s="20" t="s">
        <v>6</v>
      </c>
      <c r="H8" s="21"/>
      <c r="I8" s="21"/>
      <c r="J8" s="21"/>
      <c r="K8" s="22"/>
      <c r="M8" s="20" t="s">
        <v>24</v>
      </c>
      <c r="N8" s="21"/>
      <c r="O8" s="21"/>
      <c r="P8" s="21"/>
      <c r="Q8" s="22"/>
      <c r="S8" s="20" t="s">
        <v>6</v>
      </c>
      <c r="T8" s="21"/>
      <c r="U8" s="21"/>
      <c r="V8" s="21"/>
      <c r="W8" s="22"/>
    </row>
    <row r="9" spans="1:23" ht="14.4" customHeight="1" x14ac:dyDescent="0.3">
      <c r="A9" s="23"/>
      <c r="B9" s="24"/>
      <c r="C9" s="24"/>
      <c r="D9" s="24"/>
      <c r="E9" s="25"/>
      <c r="G9" s="23"/>
      <c r="H9" s="24"/>
      <c r="I9" s="24"/>
      <c r="J9" s="24"/>
      <c r="K9" s="25"/>
      <c r="M9" s="23"/>
      <c r="N9" s="24"/>
      <c r="O9" s="24"/>
      <c r="P9" s="24"/>
      <c r="Q9" s="25"/>
      <c r="S9" s="23"/>
      <c r="T9" s="24"/>
      <c r="U9" s="24"/>
      <c r="V9" s="24"/>
      <c r="W9" s="25"/>
    </row>
    <row r="10" spans="1:23" ht="14.4" customHeigh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G10" s="1" t="s">
        <v>0</v>
      </c>
      <c r="H10" s="1" t="s">
        <v>1</v>
      </c>
      <c r="I10" s="1" t="s">
        <v>2</v>
      </c>
      <c r="J10" s="1" t="s">
        <v>3</v>
      </c>
      <c r="K10" s="1" t="s">
        <v>4</v>
      </c>
      <c r="M10" s="1" t="s">
        <v>0</v>
      </c>
      <c r="N10" s="1" t="s">
        <v>1</v>
      </c>
      <c r="O10" s="1" t="s">
        <v>2</v>
      </c>
      <c r="P10" s="1" t="s">
        <v>3</v>
      </c>
      <c r="Q10" s="1" t="s">
        <v>4</v>
      </c>
      <c r="S10" s="1" t="s">
        <v>0</v>
      </c>
      <c r="T10" s="1" t="s">
        <v>1</v>
      </c>
      <c r="U10" s="1" t="s">
        <v>2</v>
      </c>
      <c r="V10" s="1" t="s">
        <v>3</v>
      </c>
      <c r="W10" s="1" t="s">
        <v>4</v>
      </c>
    </row>
    <row r="11" spans="1:23" ht="14.4" customHeight="1" x14ac:dyDescent="0.3">
      <c r="A11" s="1">
        <v>1</v>
      </c>
      <c r="B11" s="1" t="s">
        <v>5</v>
      </c>
      <c r="C11" s="10"/>
      <c r="D11" s="2"/>
      <c r="E11" s="3">
        <f>SUM(D11:D70)</f>
        <v>0</v>
      </c>
      <c r="G11" s="1">
        <v>1</v>
      </c>
      <c r="H11" s="1" t="s">
        <v>7</v>
      </c>
      <c r="I11" s="1"/>
      <c r="J11" s="2"/>
      <c r="K11" s="4">
        <f>SUM(J11:J70)</f>
        <v>0</v>
      </c>
      <c r="M11" s="1">
        <v>1</v>
      </c>
      <c r="N11" s="1" t="s">
        <v>5</v>
      </c>
      <c r="O11" s="1"/>
      <c r="P11" s="3"/>
      <c r="Q11" s="3">
        <f>SUM(P11:P70)</f>
        <v>0</v>
      </c>
      <c r="S11" s="1">
        <v>1</v>
      </c>
      <c r="T11" s="1" t="s">
        <v>7</v>
      </c>
      <c r="U11" s="1"/>
      <c r="V11" s="3"/>
      <c r="W11" s="3">
        <f>SUM(V11:V70)</f>
        <v>0</v>
      </c>
    </row>
    <row r="12" spans="1:23" ht="14.4" customHeight="1" x14ac:dyDescent="0.3">
      <c r="A12" s="1">
        <v>2</v>
      </c>
      <c r="B12" s="1" t="s">
        <v>5</v>
      </c>
      <c r="C12" s="10"/>
      <c r="D12" s="2"/>
      <c r="G12" s="1">
        <v>2</v>
      </c>
      <c r="H12" s="1" t="s">
        <v>7</v>
      </c>
      <c r="I12" s="1"/>
      <c r="J12" s="2"/>
      <c r="M12" s="1">
        <v>2</v>
      </c>
      <c r="N12" s="1" t="s">
        <v>5</v>
      </c>
      <c r="O12" s="1"/>
      <c r="P12" s="3"/>
      <c r="S12" s="1">
        <v>2</v>
      </c>
      <c r="T12" s="1" t="s">
        <v>7</v>
      </c>
      <c r="U12" s="1"/>
      <c r="V12" s="3"/>
    </row>
    <row r="13" spans="1:23" ht="14.4" customHeight="1" x14ac:dyDescent="0.3">
      <c r="A13" s="1">
        <v>3</v>
      </c>
      <c r="B13" s="1" t="s">
        <v>5</v>
      </c>
      <c r="C13" s="10"/>
      <c r="D13" s="2"/>
      <c r="G13" s="1">
        <v>3</v>
      </c>
      <c r="H13" s="1" t="s">
        <v>7</v>
      </c>
      <c r="I13" s="1"/>
      <c r="J13" s="2"/>
      <c r="M13" s="1">
        <v>3</v>
      </c>
      <c r="N13" s="1" t="s">
        <v>5</v>
      </c>
      <c r="O13" s="1"/>
      <c r="P13" s="3"/>
      <c r="S13" s="1">
        <v>3</v>
      </c>
      <c r="T13" s="1" t="s">
        <v>7</v>
      </c>
      <c r="U13" s="1"/>
      <c r="V13" s="3"/>
    </row>
    <row r="14" spans="1:23" ht="14.4" customHeight="1" x14ac:dyDescent="0.3">
      <c r="A14" s="1">
        <v>4</v>
      </c>
      <c r="B14" s="1" t="s">
        <v>5</v>
      </c>
      <c r="C14" s="10"/>
      <c r="D14" s="2"/>
      <c r="G14" s="1">
        <v>4</v>
      </c>
      <c r="H14" s="1" t="s">
        <v>7</v>
      </c>
      <c r="I14" s="1"/>
      <c r="J14" s="2"/>
      <c r="M14" s="1">
        <v>4</v>
      </c>
      <c r="N14" s="1" t="s">
        <v>5</v>
      </c>
      <c r="O14" s="1"/>
      <c r="P14" s="3"/>
      <c r="S14" s="1">
        <v>4</v>
      </c>
      <c r="T14" s="1" t="s">
        <v>7</v>
      </c>
      <c r="U14" s="1"/>
      <c r="V14" s="3"/>
    </row>
    <row r="15" spans="1:23" ht="14.4" customHeight="1" x14ac:dyDescent="0.3">
      <c r="A15" s="1">
        <v>5</v>
      </c>
      <c r="B15" s="1" t="s">
        <v>5</v>
      </c>
      <c r="C15" s="10"/>
      <c r="D15" s="2"/>
      <c r="G15" s="1">
        <v>5</v>
      </c>
      <c r="H15" s="1" t="s">
        <v>7</v>
      </c>
      <c r="I15" s="1"/>
      <c r="J15" s="2"/>
      <c r="M15" s="1">
        <v>5</v>
      </c>
      <c r="N15" s="1" t="s">
        <v>5</v>
      </c>
      <c r="O15" s="1"/>
      <c r="P15" s="3"/>
      <c r="S15" s="1">
        <v>5</v>
      </c>
      <c r="T15" s="1" t="s">
        <v>7</v>
      </c>
      <c r="U15" s="1"/>
      <c r="V15" s="3"/>
    </row>
    <row r="16" spans="1:23" ht="14.4" customHeight="1" x14ac:dyDescent="0.3">
      <c r="A16" s="1">
        <v>6</v>
      </c>
      <c r="B16" s="1" t="s">
        <v>5</v>
      </c>
      <c r="C16" s="1"/>
      <c r="D16" s="2"/>
      <c r="G16" s="1">
        <v>6</v>
      </c>
      <c r="H16" s="1" t="s">
        <v>7</v>
      </c>
      <c r="I16" s="1"/>
      <c r="J16" s="2"/>
      <c r="M16" s="1">
        <v>6</v>
      </c>
      <c r="N16" s="1" t="s">
        <v>5</v>
      </c>
      <c r="O16" s="1"/>
      <c r="P16" s="3"/>
      <c r="S16" s="1">
        <v>6</v>
      </c>
      <c r="T16" s="1" t="s">
        <v>7</v>
      </c>
      <c r="U16" s="1"/>
      <c r="V16" s="3"/>
    </row>
    <row r="17" spans="1:22" ht="14.4" customHeight="1" x14ac:dyDescent="0.3">
      <c r="A17" s="1">
        <v>7</v>
      </c>
      <c r="B17" s="1" t="s">
        <v>5</v>
      </c>
      <c r="C17" s="1"/>
      <c r="D17" s="2"/>
      <c r="G17" s="1">
        <v>7</v>
      </c>
      <c r="H17" s="1" t="s">
        <v>7</v>
      </c>
      <c r="I17" s="1"/>
      <c r="J17" s="2"/>
      <c r="M17" s="1">
        <v>7</v>
      </c>
      <c r="N17" s="1" t="s">
        <v>5</v>
      </c>
      <c r="O17" s="1"/>
      <c r="P17" s="3"/>
      <c r="S17" s="1">
        <v>7</v>
      </c>
      <c r="T17" s="1" t="s">
        <v>7</v>
      </c>
      <c r="U17" s="1"/>
      <c r="V17" s="3"/>
    </row>
    <row r="18" spans="1:22" ht="14.4" customHeight="1" x14ac:dyDescent="0.3">
      <c r="A18" s="1">
        <v>8</v>
      </c>
      <c r="B18" s="1" t="s">
        <v>5</v>
      </c>
      <c r="C18" s="1"/>
      <c r="D18" s="2"/>
      <c r="G18" s="1">
        <v>8</v>
      </c>
      <c r="H18" s="1" t="s">
        <v>7</v>
      </c>
      <c r="I18" s="1"/>
      <c r="J18" s="2"/>
      <c r="M18" s="1">
        <v>8</v>
      </c>
      <c r="N18" s="1" t="s">
        <v>5</v>
      </c>
      <c r="O18" s="1"/>
      <c r="P18" s="3"/>
      <c r="S18" s="1">
        <v>8</v>
      </c>
      <c r="T18" s="1" t="s">
        <v>7</v>
      </c>
      <c r="U18" s="1"/>
      <c r="V18" s="3"/>
    </row>
    <row r="19" spans="1:22" ht="14.4" customHeight="1" x14ac:dyDescent="0.3">
      <c r="A19" s="1">
        <v>9</v>
      </c>
      <c r="B19" s="1" t="s">
        <v>5</v>
      </c>
      <c r="C19" s="1"/>
      <c r="D19" s="2"/>
      <c r="G19" s="1">
        <v>9</v>
      </c>
      <c r="H19" s="1" t="s">
        <v>7</v>
      </c>
      <c r="I19" s="1"/>
      <c r="J19" s="2"/>
      <c r="M19" s="1">
        <v>9</v>
      </c>
      <c r="N19" s="1" t="s">
        <v>5</v>
      </c>
      <c r="O19" s="1"/>
      <c r="P19" s="3"/>
      <c r="S19" s="1">
        <v>9</v>
      </c>
      <c r="T19" s="1" t="s">
        <v>7</v>
      </c>
      <c r="U19" s="1"/>
      <c r="V19" s="3"/>
    </row>
    <row r="20" spans="1:22" ht="14.4" customHeight="1" x14ac:dyDescent="0.3">
      <c r="A20" s="1">
        <v>10</v>
      </c>
      <c r="B20" s="1" t="s">
        <v>5</v>
      </c>
      <c r="C20" s="1"/>
      <c r="D20" s="2"/>
      <c r="G20" s="1">
        <v>10</v>
      </c>
      <c r="H20" s="1" t="s">
        <v>7</v>
      </c>
      <c r="I20" s="1"/>
      <c r="J20" s="2"/>
      <c r="M20" s="1">
        <v>10</v>
      </c>
      <c r="N20" s="1" t="s">
        <v>5</v>
      </c>
      <c r="O20" s="1"/>
      <c r="P20" s="3"/>
      <c r="S20" s="1">
        <v>10</v>
      </c>
      <c r="T20" s="1" t="s">
        <v>7</v>
      </c>
      <c r="U20" s="1"/>
      <c r="V20" s="3"/>
    </row>
    <row r="21" spans="1:22" ht="14.4" customHeight="1" x14ac:dyDescent="0.3">
      <c r="A21" s="1">
        <v>11</v>
      </c>
      <c r="B21" s="1" t="s">
        <v>5</v>
      </c>
      <c r="C21" s="1"/>
      <c r="D21" s="2"/>
      <c r="G21" s="1">
        <v>11</v>
      </c>
      <c r="H21" s="1" t="s">
        <v>7</v>
      </c>
      <c r="I21" s="1"/>
      <c r="J21" s="2"/>
      <c r="M21" s="1">
        <v>11</v>
      </c>
      <c r="N21" s="1" t="s">
        <v>5</v>
      </c>
      <c r="O21" s="1"/>
      <c r="P21" s="3"/>
      <c r="S21" s="1">
        <v>11</v>
      </c>
      <c r="T21" s="1" t="s">
        <v>7</v>
      </c>
      <c r="U21" s="1"/>
      <c r="V21" s="3"/>
    </row>
    <row r="22" spans="1:22" ht="14.4" customHeight="1" x14ac:dyDescent="0.3">
      <c r="A22" s="1">
        <v>12</v>
      </c>
      <c r="B22" s="1" t="s">
        <v>5</v>
      </c>
      <c r="C22" s="1"/>
      <c r="D22" s="2"/>
      <c r="G22" s="1">
        <v>12</v>
      </c>
      <c r="H22" s="1" t="s">
        <v>7</v>
      </c>
      <c r="I22" s="1"/>
      <c r="J22" s="2"/>
      <c r="M22" s="1">
        <v>12</v>
      </c>
      <c r="N22" s="1" t="s">
        <v>5</v>
      </c>
      <c r="O22" s="1"/>
      <c r="P22" s="3"/>
      <c r="S22" s="1">
        <v>12</v>
      </c>
      <c r="T22" s="1" t="s">
        <v>7</v>
      </c>
      <c r="U22" s="1"/>
      <c r="V22" s="3"/>
    </row>
    <row r="23" spans="1:22" ht="14.4" customHeight="1" x14ac:dyDescent="0.3">
      <c r="A23" s="1">
        <v>13</v>
      </c>
      <c r="B23" s="1" t="s">
        <v>5</v>
      </c>
      <c r="C23" s="1"/>
      <c r="D23" s="2"/>
      <c r="G23" s="1">
        <v>13</v>
      </c>
      <c r="H23" s="1" t="s">
        <v>7</v>
      </c>
      <c r="I23" s="1"/>
      <c r="J23" s="2"/>
      <c r="M23" s="1">
        <v>13</v>
      </c>
      <c r="N23" s="1" t="s">
        <v>5</v>
      </c>
      <c r="O23" s="1"/>
      <c r="P23" s="3"/>
      <c r="S23" s="1">
        <v>13</v>
      </c>
      <c r="T23" s="1" t="s">
        <v>7</v>
      </c>
      <c r="U23" s="1"/>
      <c r="V23" s="3"/>
    </row>
    <row r="24" spans="1:22" ht="14.4" customHeight="1" x14ac:dyDescent="0.3">
      <c r="A24" s="1">
        <v>14</v>
      </c>
      <c r="B24" s="1" t="s">
        <v>5</v>
      </c>
      <c r="C24" s="1"/>
      <c r="D24" s="2"/>
      <c r="G24" s="1">
        <v>14</v>
      </c>
      <c r="H24" s="1" t="s">
        <v>7</v>
      </c>
      <c r="I24" s="1"/>
      <c r="J24" s="2"/>
      <c r="M24" s="1">
        <v>14</v>
      </c>
      <c r="N24" s="1" t="s">
        <v>5</v>
      </c>
      <c r="O24" s="1"/>
      <c r="P24" s="3"/>
      <c r="S24" s="1">
        <v>14</v>
      </c>
      <c r="T24" s="1" t="s">
        <v>7</v>
      </c>
      <c r="U24" s="1"/>
      <c r="V24" s="3"/>
    </row>
    <row r="25" spans="1:22" ht="14.4" customHeight="1" x14ac:dyDescent="0.3">
      <c r="A25" s="1">
        <v>15</v>
      </c>
      <c r="B25" s="1" t="s">
        <v>5</v>
      </c>
      <c r="C25" s="1"/>
      <c r="D25" s="2"/>
      <c r="G25" s="1">
        <v>15</v>
      </c>
      <c r="H25" s="1" t="s">
        <v>7</v>
      </c>
      <c r="I25" s="1"/>
      <c r="J25" s="2"/>
      <c r="M25" s="1">
        <v>15</v>
      </c>
      <c r="N25" s="1" t="s">
        <v>5</v>
      </c>
      <c r="O25" s="1"/>
      <c r="P25" s="3"/>
      <c r="S25" s="1">
        <v>15</v>
      </c>
      <c r="T25" s="1" t="s">
        <v>7</v>
      </c>
      <c r="U25" s="1"/>
      <c r="V25" s="3"/>
    </row>
    <row r="26" spans="1:22" ht="14.4" customHeight="1" x14ac:dyDescent="0.3">
      <c r="A26" s="1">
        <v>16</v>
      </c>
      <c r="B26" s="1" t="s">
        <v>5</v>
      </c>
      <c r="C26" s="1"/>
      <c r="D26" s="2"/>
      <c r="G26" s="1">
        <v>16</v>
      </c>
      <c r="H26" s="1" t="s">
        <v>7</v>
      </c>
      <c r="I26" s="1"/>
      <c r="J26" s="2"/>
      <c r="M26" s="1">
        <v>16</v>
      </c>
      <c r="N26" s="1" t="s">
        <v>5</v>
      </c>
      <c r="O26" s="1"/>
      <c r="P26" s="3"/>
      <c r="S26" s="1">
        <v>16</v>
      </c>
      <c r="T26" s="1" t="s">
        <v>7</v>
      </c>
      <c r="U26" s="1"/>
      <c r="V26" s="3"/>
    </row>
    <row r="27" spans="1:22" ht="14.4" customHeight="1" x14ac:dyDescent="0.3">
      <c r="A27" s="1">
        <v>17</v>
      </c>
      <c r="B27" s="1" t="s">
        <v>5</v>
      </c>
      <c r="C27" s="1"/>
      <c r="D27" s="2"/>
      <c r="G27" s="1">
        <v>17</v>
      </c>
      <c r="H27" s="1" t="s">
        <v>7</v>
      </c>
      <c r="I27" s="1"/>
      <c r="J27" s="2"/>
      <c r="M27" s="1">
        <v>17</v>
      </c>
      <c r="N27" s="1" t="s">
        <v>5</v>
      </c>
      <c r="O27" s="1"/>
      <c r="P27" s="3"/>
      <c r="S27" s="1">
        <v>17</v>
      </c>
      <c r="T27" s="1" t="s">
        <v>7</v>
      </c>
      <c r="U27" s="1"/>
      <c r="V27" s="3"/>
    </row>
    <row r="28" spans="1:22" ht="14.4" customHeight="1" x14ac:dyDescent="0.3">
      <c r="A28" s="1">
        <v>18</v>
      </c>
      <c r="B28" s="1" t="s">
        <v>5</v>
      </c>
      <c r="C28" s="1"/>
      <c r="D28" s="2"/>
      <c r="G28" s="1">
        <v>18</v>
      </c>
      <c r="H28" s="1" t="s">
        <v>7</v>
      </c>
      <c r="I28" s="1"/>
      <c r="J28" s="2"/>
      <c r="M28" s="1">
        <v>18</v>
      </c>
      <c r="N28" s="1" t="s">
        <v>5</v>
      </c>
      <c r="O28" s="1"/>
      <c r="P28" s="3"/>
      <c r="S28" s="1">
        <v>18</v>
      </c>
      <c r="T28" s="1" t="s">
        <v>7</v>
      </c>
      <c r="U28" s="1"/>
      <c r="V28" s="3"/>
    </row>
    <row r="29" spans="1:22" ht="14.4" customHeight="1" x14ac:dyDescent="0.3">
      <c r="A29" s="1">
        <v>19</v>
      </c>
      <c r="B29" s="1" t="s">
        <v>5</v>
      </c>
      <c r="C29" s="1"/>
      <c r="D29" s="2"/>
      <c r="G29" s="1">
        <v>19</v>
      </c>
      <c r="H29" s="1" t="s">
        <v>7</v>
      </c>
      <c r="I29" s="1"/>
      <c r="J29" s="2"/>
      <c r="M29" s="1">
        <v>19</v>
      </c>
      <c r="N29" s="1" t="s">
        <v>5</v>
      </c>
      <c r="O29" s="1"/>
      <c r="P29" s="3"/>
      <c r="S29" s="1">
        <v>19</v>
      </c>
      <c r="T29" s="1" t="s">
        <v>7</v>
      </c>
      <c r="U29" s="1"/>
      <c r="V29" s="3"/>
    </row>
    <row r="30" spans="1:22" ht="14.4" customHeight="1" x14ac:dyDescent="0.3">
      <c r="A30" s="1">
        <v>20</v>
      </c>
      <c r="B30" s="1" t="s">
        <v>5</v>
      </c>
      <c r="C30" s="1"/>
      <c r="D30" s="2"/>
      <c r="G30" s="1">
        <v>20</v>
      </c>
      <c r="H30" s="1" t="s">
        <v>7</v>
      </c>
      <c r="I30" s="1"/>
      <c r="J30" s="2"/>
      <c r="M30" s="1">
        <v>20</v>
      </c>
      <c r="N30" s="1" t="s">
        <v>5</v>
      </c>
      <c r="O30" s="1"/>
      <c r="P30" s="3"/>
      <c r="S30" s="1">
        <v>20</v>
      </c>
      <c r="T30" s="1" t="s">
        <v>7</v>
      </c>
      <c r="U30" s="1"/>
      <c r="V30" s="3"/>
    </row>
    <row r="31" spans="1:22" ht="14.4" customHeight="1" x14ac:dyDescent="0.3">
      <c r="A31" s="1">
        <v>21</v>
      </c>
      <c r="B31" s="1" t="s">
        <v>5</v>
      </c>
      <c r="C31" s="1"/>
      <c r="D31" s="2"/>
      <c r="G31" s="1">
        <v>21</v>
      </c>
      <c r="H31" s="1" t="s">
        <v>7</v>
      </c>
      <c r="I31" s="1"/>
      <c r="J31" s="2"/>
      <c r="M31" s="1">
        <v>21</v>
      </c>
      <c r="N31" s="1" t="s">
        <v>5</v>
      </c>
      <c r="O31" s="1"/>
      <c r="P31" s="3"/>
      <c r="S31" s="1">
        <v>21</v>
      </c>
      <c r="T31" s="1" t="s">
        <v>7</v>
      </c>
      <c r="U31" s="1"/>
      <c r="V31" s="3"/>
    </row>
    <row r="32" spans="1:22" ht="14.4" customHeight="1" x14ac:dyDescent="0.3">
      <c r="A32" s="1">
        <v>22</v>
      </c>
      <c r="B32" s="1" t="s">
        <v>5</v>
      </c>
      <c r="C32" s="1"/>
      <c r="D32" s="2"/>
      <c r="G32" s="1">
        <v>22</v>
      </c>
      <c r="H32" s="1" t="s">
        <v>7</v>
      </c>
      <c r="I32" s="1"/>
      <c r="J32" s="2"/>
      <c r="M32" s="1">
        <v>22</v>
      </c>
      <c r="N32" s="1" t="s">
        <v>5</v>
      </c>
      <c r="O32" s="1"/>
      <c r="P32" s="3"/>
      <c r="S32" s="1">
        <v>22</v>
      </c>
      <c r="T32" s="1" t="s">
        <v>7</v>
      </c>
      <c r="U32" s="1"/>
      <c r="V32" s="3"/>
    </row>
    <row r="33" spans="1:22" ht="14.4" customHeight="1" x14ac:dyDescent="0.3">
      <c r="A33" s="1">
        <v>23</v>
      </c>
      <c r="B33" s="1" t="s">
        <v>5</v>
      </c>
      <c r="C33" s="1"/>
      <c r="D33" s="2"/>
      <c r="G33" s="1">
        <v>23</v>
      </c>
      <c r="H33" s="1" t="s">
        <v>7</v>
      </c>
      <c r="I33" s="1"/>
      <c r="J33" s="2"/>
      <c r="M33" s="1">
        <v>23</v>
      </c>
      <c r="N33" s="1" t="s">
        <v>5</v>
      </c>
      <c r="O33" s="1"/>
      <c r="P33" s="3"/>
      <c r="S33" s="1">
        <v>23</v>
      </c>
      <c r="T33" s="1" t="s">
        <v>7</v>
      </c>
      <c r="U33" s="1"/>
      <c r="V33" s="3"/>
    </row>
    <row r="34" spans="1:22" ht="14.4" customHeight="1" x14ac:dyDescent="0.3">
      <c r="A34" s="1">
        <v>24</v>
      </c>
      <c r="B34" s="1" t="s">
        <v>5</v>
      </c>
      <c r="C34" s="1"/>
      <c r="D34" s="2"/>
      <c r="G34" s="1">
        <v>24</v>
      </c>
      <c r="H34" s="1" t="s">
        <v>7</v>
      </c>
      <c r="I34" s="1"/>
      <c r="J34" s="2"/>
      <c r="M34" s="1">
        <v>24</v>
      </c>
      <c r="N34" s="1" t="s">
        <v>5</v>
      </c>
      <c r="O34" s="1"/>
      <c r="P34" s="3"/>
      <c r="S34" s="1">
        <v>24</v>
      </c>
      <c r="T34" s="1" t="s">
        <v>7</v>
      </c>
      <c r="U34" s="1"/>
      <c r="V34" s="3"/>
    </row>
    <row r="35" spans="1:22" ht="14.4" customHeight="1" x14ac:dyDescent="0.3">
      <c r="A35" s="1">
        <v>25</v>
      </c>
      <c r="B35" s="1" t="s">
        <v>5</v>
      </c>
      <c r="C35" s="1"/>
      <c r="D35" s="2"/>
      <c r="G35" s="1">
        <v>25</v>
      </c>
      <c r="H35" s="1" t="s">
        <v>7</v>
      </c>
      <c r="I35" s="1"/>
      <c r="J35" s="2"/>
      <c r="M35" s="1">
        <v>25</v>
      </c>
      <c r="N35" s="1" t="s">
        <v>5</v>
      </c>
      <c r="O35" s="1"/>
      <c r="P35" s="3"/>
      <c r="S35" s="1">
        <v>25</v>
      </c>
      <c r="T35" s="1" t="s">
        <v>7</v>
      </c>
      <c r="U35" s="1"/>
      <c r="V35" s="3"/>
    </row>
    <row r="36" spans="1:22" ht="14.4" customHeight="1" x14ac:dyDescent="0.3">
      <c r="A36" s="1">
        <v>26</v>
      </c>
      <c r="B36" s="1" t="s">
        <v>5</v>
      </c>
      <c r="C36" s="1"/>
      <c r="D36" s="2"/>
      <c r="G36" s="1">
        <v>26</v>
      </c>
      <c r="H36" s="1" t="s">
        <v>7</v>
      </c>
      <c r="I36" s="1"/>
      <c r="J36" s="2"/>
      <c r="M36" s="1">
        <v>26</v>
      </c>
      <c r="N36" s="1" t="s">
        <v>5</v>
      </c>
      <c r="O36" s="1"/>
      <c r="P36" s="3"/>
      <c r="S36" s="1">
        <v>26</v>
      </c>
      <c r="T36" s="1" t="s">
        <v>7</v>
      </c>
      <c r="U36" s="1"/>
      <c r="V36" s="3"/>
    </row>
    <row r="37" spans="1:22" ht="14.4" customHeight="1" x14ac:dyDescent="0.3">
      <c r="A37" s="1">
        <v>27</v>
      </c>
      <c r="B37" s="1" t="s">
        <v>5</v>
      </c>
      <c r="C37" s="1"/>
      <c r="D37" s="2"/>
      <c r="G37" s="1">
        <v>27</v>
      </c>
      <c r="H37" s="1" t="s">
        <v>7</v>
      </c>
      <c r="I37" s="1"/>
      <c r="J37" s="2"/>
      <c r="M37" s="1">
        <v>27</v>
      </c>
      <c r="N37" s="1" t="s">
        <v>5</v>
      </c>
      <c r="O37" s="1"/>
      <c r="P37" s="3"/>
      <c r="S37" s="1">
        <v>27</v>
      </c>
      <c r="T37" s="1" t="s">
        <v>7</v>
      </c>
      <c r="U37" s="1"/>
      <c r="V37" s="3"/>
    </row>
    <row r="38" spans="1:22" ht="14.4" customHeight="1" x14ac:dyDescent="0.3">
      <c r="A38" s="1">
        <v>28</v>
      </c>
      <c r="B38" s="1" t="s">
        <v>5</v>
      </c>
      <c r="C38" s="1"/>
      <c r="D38" s="2"/>
      <c r="G38" s="1">
        <v>28</v>
      </c>
      <c r="H38" s="1" t="s">
        <v>7</v>
      </c>
      <c r="I38" s="1"/>
      <c r="J38" s="2"/>
      <c r="M38" s="1">
        <v>28</v>
      </c>
      <c r="N38" s="1" t="s">
        <v>5</v>
      </c>
      <c r="O38" s="1"/>
      <c r="P38" s="3"/>
      <c r="S38" s="1">
        <v>28</v>
      </c>
      <c r="T38" s="1" t="s">
        <v>7</v>
      </c>
      <c r="U38" s="1"/>
      <c r="V38" s="3"/>
    </row>
    <row r="39" spans="1:22" ht="14.4" customHeight="1" x14ac:dyDescent="0.3">
      <c r="A39" s="1">
        <v>29</v>
      </c>
      <c r="B39" s="1" t="s">
        <v>5</v>
      </c>
      <c r="C39" s="1"/>
      <c r="D39" s="2"/>
      <c r="G39" s="1">
        <v>29</v>
      </c>
      <c r="H39" s="1" t="s">
        <v>7</v>
      </c>
      <c r="I39" s="1"/>
      <c r="J39" s="2"/>
      <c r="M39" s="1">
        <v>29</v>
      </c>
      <c r="N39" s="1" t="s">
        <v>5</v>
      </c>
      <c r="O39" s="1"/>
      <c r="P39" s="3"/>
      <c r="S39" s="1">
        <v>29</v>
      </c>
      <c r="T39" s="1" t="s">
        <v>7</v>
      </c>
      <c r="U39" s="1"/>
      <c r="V39" s="3"/>
    </row>
    <row r="40" spans="1:22" ht="14.4" customHeight="1" x14ac:dyDescent="0.3">
      <c r="A40" s="1">
        <v>30</v>
      </c>
      <c r="B40" s="1" t="s">
        <v>5</v>
      </c>
      <c r="C40" s="1"/>
      <c r="D40" s="2"/>
      <c r="G40" s="1">
        <v>30</v>
      </c>
      <c r="H40" s="1" t="s">
        <v>7</v>
      </c>
      <c r="I40" s="1"/>
      <c r="J40" s="2"/>
      <c r="M40" s="1">
        <v>30</v>
      </c>
      <c r="N40" s="1" t="s">
        <v>5</v>
      </c>
      <c r="O40" s="1"/>
      <c r="P40" s="3"/>
      <c r="S40" s="1">
        <v>30</v>
      </c>
      <c r="T40" s="1" t="s">
        <v>7</v>
      </c>
      <c r="U40" s="1"/>
      <c r="V40" s="3"/>
    </row>
    <row r="41" spans="1:22" ht="14.4" customHeight="1" x14ac:dyDescent="0.3">
      <c r="A41" s="1">
        <v>31</v>
      </c>
      <c r="B41" s="1" t="s">
        <v>5</v>
      </c>
      <c r="C41" s="1"/>
      <c r="D41" s="2"/>
      <c r="G41" s="1">
        <v>31</v>
      </c>
      <c r="H41" s="1" t="s">
        <v>7</v>
      </c>
      <c r="I41" s="1"/>
      <c r="J41" s="2"/>
      <c r="M41" s="1">
        <v>31</v>
      </c>
      <c r="N41" s="1" t="s">
        <v>5</v>
      </c>
      <c r="O41" s="1"/>
      <c r="P41" s="3"/>
      <c r="S41" s="1">
        <v>31</v>
      </c>
      <c r="T41" s="1" t="s">
        <v>7</v>
      </c>
      <c r="U41" s="1"/>
      <c r="V41" s="3"/>
    </row>
    <row r="42" spans="1:22" ht="14.4" customHeight="1" x14ac:dyDescent="0.3">
      <c r="A42" s="1">
        <v>32</v>
      </c>
      <c r="B42" s="1" t="s">
        <v>5</v>
      </c>
      <c r="C42" s="1"/>
      <c r="D42" s="2"/>
      <c r="G42" s="1">
        <v>32</v>
      </c>
      <c r="H42" s="1" t="s">
        <v>7</v>
      </c>
      <c r="I42" s="1"/>
      <c r="J42" s="2"/>
      <c r="M42" s="1">
        <v>32</v>
      </c>
      <c r="N42" s="1" t="s">
        <v>5</v>
      </c>
      <c r="O42" s="1"/>
      <c r="P42" s="3"/>
      <c r="S42" s="1">
        <v>32</v>
      </c>
      <c r="T42" s="1" t="s">
        <v>7</v>
      </c>
      <c r="U42" s="1"/>
      <c r="V42" s="3"/>
    </row>
    <row r="43" spans="1:22" ht="14.4" customHeight="1" x14ac:dyDescent="0.3">
      <c r="A43" s="1">
        <v>33</v>
      </c>
      <c r="B43" s="1" t="s">
        <v>5</v>
      </c>
      <c r="C43" s="1"/>
      <c r="D43" s="2"/>
      <c r="G43" s="1">
        <v>33</v>
      </c>
      <c r="H43" s="1" t="s">
        <v>7</v>
      </c>
      <c r="I43" s="1"/>
      <c r="J43" s="2"/>
      <c r="M43" s="1">
        <v>33</v>
      </c>
      <c r="N43" s="1" t="s">
        <v>5</v>
      </c>
      <c r="O43" s="1"/>
      <c r="P43" s="3"/>
      <c r="S43" s="1">
        <v>33</v>
      </c>
      <c r="T43" s="1" t="s">
        <v>7</v>
      </c>
      <c r="U43" s="1"/>
      <c r="V43" s="3"/>
    </row>
    <row r="44" spans="1:22" ht="14.4" customHeight="1" x14ac:dyDescent="0.3">
      <c r="A44" s="1">
        <v>34</v>
      </c>
      <c r="B44" s="1" t="s">
        <v>5</v>
      </c>
      <c r="C44" s="1"/>
      <c r="D44" s="2"/>
      <c r="G44" s="1">
        <v>34</v>
      </c>
      <c r="H44" s="1" t="s">
        <v>7</v>
      </c>
      <c r="I44" s="1"/>
      <c r="J44" s="2"/>
      <c r="M44" s="1">
        <v>34</v>
      </c>
      <c r="N44" s="1" t="s">
        <v>5</v>
      </c>
      <c r="O44" s="1"/>
      <c r="P44" s="3"/>
      <c r="S44" s="1">
        <v>34</v>
      </c>
      <c r="T44" s="1" t="s">
        <v>7</v>
      </c>
      <c r="U44" s="1"/>
      <c r="V44" s="3"/>
    </row>
    <row r="45" spans="1:22" ht="14.4" customHeight="1" x14ac:dyDescent="0.3">
      <c r="A45" s="1">
        <v>35</v>
      </c>
      <c r="B45" s="1" t="s">
        <v>5</v>
      </c>
      <c r="C45" s="1"/>
      <c r="D45" s="2"/>
      <c r="G45" s="1">
        <v>35</v>
      </c>
      <c r="H45" s="1" t="s">
        <v>7</v>
      </c>
      <c r="I45" s="1"/>
      <c r="J45" s="2"/>
      <c r="M45" s="1">
        <v>35</v>
      </c>
      <c r="N45" s="1" t="s">
        <v>5</v>
      </c>
      <c r="O45" s="1"/>
      <c r="P45" s="3"/>
      <c r="S45" s="1">
        <v>35</v>
      </c>
      <c r="T45" s="1" t="s">
        <v>7</v>
      </c>
      <c r="U45" s="1"/>
      <c r="V45" s="3"/>
    </row>
    <row r="46" spans="1:22" ht="14.4" customHeight="1" x14ac:dyDescent="0.3">
      <c r="A46" s="1">
        <v>36</v>
      </c>
      <c r="B46" s="1" t="s">
        <v>5</v>
      </c>
      <c r="C46" s="1"/>
      <c r="D46" s="2"/>
      <c r="G46" s="1">
        <v>36</v>
      </c>
      <c r="H46" s="1" t="s">
        <v>7</v>
      </c>
      <c r="I46" s="1"/>
      <c r="J46" s="2"/>
      <c r="M46" s="1">
        <v>36</v>
      </c>
      <c r="N46" s="1" t="s">
        <v>5</v>
      </c>
      <c r="O46" s="1"/>
      <c r="P46" s="3"/>
      <c r="S46" s="1">
        <v>36</v>
      </c>
      <c r="T46" s="1" t="s">
        <v>7</v>
      </c>
      <c r="U46" s="1"/>
      <c r="V46" s="3"/>
    </row>
    <row r="47" spans="1:22" ht="14.4" customHeight="1" x14ac:dyDescent="0.3">
      <c r="A47" s="1">
        <v>37</v>
      </c>
      <c r="B47" s="1" t="s">
        <v>5</v>
      </c>
      <c r="C47" s="1"/>
      <c r="D47" s="2"/>
      <c r="G47" s="1">
        <v>37</v>
      </c>
      <c r="H47" s="1" t="s">
        <v>7</v>
      </c>
      <c r="I47" s="1"/>
      <c r="J47" s="2"/>
      <c r="M47" s="1">
        <v>37</v>
      </c>
      <c r="N47" s="1" t="s">
        <v>5</v>
      </c>
      <c r="O47" s="1"/>
      <c r="P47" s="3"/>
      <c r="S47" s="1">
        <v>37</v>
      </c>
      <c r="T47" s="1" t="s">
        <v>7</v>
      </c>
      <c r="U47" s="1"/>
      <c r="V47" s="3"/>
    </row>
    <row r="48" spans="1:22" ht="14.4" customHeight="1" x14ac:dyDescent="0.3">
      <c r="A48" s="1">
        <v>38</v>
      </c>
      <c r="B48" s="1" t="s">
        <v>5</v>
      </c>
      <c r="C48" s="1"/>
      <c r="D48" s="2"/>
      <c r="G48" s="1">
        <v>38</v>
      </c>
      <c r="H48" s="1" t="s">
        <v>7</v>
      </c>
      <c r="I48" s="1"/>
      <c r="J48" s="2"/>
      <c r="M48" s="1">
        <v>38</v>
      </c>
      <c r="N48" s="1" t="s">
        <v>5</v>
      </c>
      <c r="O48" s="1"/>
      <c r="P48" s="3"/>
      <c r="S48" s="1">
        <v>38</v>
      </c>
      <c r="T48" s="1" t="s">
        <v>7</v>
      </c>
      <c r="U48" s="1"/>
      <c r="V48" s="3"/>
    </row>
    <row r="49" spans="1:22" ht="14.4" customHeight="1" x14ac:dyDescent="0.3">
      <c r="A49" s="1">
        <v>39</v>
      </c>
      <c r="B49" s="1" t="s">
        <v>5</v>
      </c>
      <c r="C49" s="1"/>
      <c r="D49" s="2"/>
      <c r="G49" s="1">
        <v>39</v>
      </c>
      <c r="H49" s="1" t="s">
        <v>7</v>
      </c>
      <c r="I49" s="1"/>
      <c r="J49" s="2"/>
      <c r="M49" s="1">
        <v>39</v>
      </c>
      <c r="N49" s="1" t="s">
        <v>5</v>
      </c>
      <c r="O49" s="1"/>
      <c r="P49" s="3"/>
      <c r="S49" s="1">
        <v>39</v>
      </c>
      <c r="T49" s="1" t="s">
        <v>7</v>
      </c>
      <c r="U49" s="1"/>
      <c r="V49" s="3"/>
    </row>
    <row r="50" spans="1:22" ht="14.4" customHeight="1" x14ac:dyDescent="0.3">
      <c r="A50" s="1">
        <v>40</v>
      </c>
      <c r="B50" s="1" t="s">
        <v>5</v>
      </c>
      <c r="C50" s="1"/>
      <c r="D50" s="2"/>
      <c r="G50" s="1">
        <v>40</v>
      </c>
      <c r="H50" s="1" t="s">
        <v>7</v>
      </c>
      <c r="I50" s="1"/>
      <c r="J50" s="2"/>
      <c r="M50" s="1">
        <v>40</v>
      </c>
      <c r="N50" s="1" t="s">
        <v>5</v>
      </c>
      <c r="O50" s="1"/>
      <c r="P50" s="3"/>
      <c r="S50" s="1">
        <v>40</v>
      </c>
      <c r="T50" s="1" t="s">
        <v>7</v>
      </c>
      <c r="U50" s="1"/>
      <c r="V50" s="3"/>
    </row>
    <row r="51" spans="1:22" ht="14.4" customHeight="1" x14ac:dyDescent="0.3">
      <c r="A51" s="1">
        <v>41</v>
      </c>
      <c r="B51" s="1" t="s">
        <v>5</v>
      </c>
      <c r="C51" s="1"/>
      <c r="D51" s="2"/>
      <c r="G51" s="1">
        <v>41</v>
      </c>
      <c r="H51" s="1" t="s">
        <v>7</v>
      </c>
      <c r="I51" s="1"/>
      <c r="J51" s="2"/>
      <c r="M51" s="1">
        <v>41</v>
      </c>
      <c r="N51" s="1" t="s">
        <v>5</v>
      </c>
      <c r="O51" s="1"/>
      <c r="P51" s="3"/>
      <c r="S51" s="1">
        <v>41</v>
      </c>
      <c r="T51" s="1" t="s">
        <v>7</v>
      </c>
      <c r="U51" s="1"/>
      <c r="V51" s="3"/>
    </row>
    <row r="52" spans="1:22" ht="14.4" customHeight="1" x14ac:dyDescent="0.3">
      <c r="A52" s="1">
        <v>42</v>
      </c>
      <c r="B52" s="1" t="s">
        <v>5</v>
      </c>
      <c r="C52" s="1"/>
      <c r="D52" s="2"/>
      <c r="G52" s="1">
        <v>42</v>
      </c>
      <c r="H52" s="1" t="s">
        <v>7</v>
      </c>
      <c r="I52" s="1"/>
      <c r="J52" s="2"/>
      <c r="M52" s="1">
        <v>42</v>
      </c>
      <c r="N52" s="1" t="s">
        <v>5</v>
      </c>
      <c r="O52" s="1"/>
      <c r="P52" s="3"/>
      <c r="S52" s="1">
        <v>42</v>
      </c>
      <c r="T52" s="1" t="s">
        <v>7</v>
      </c>
      <c r="U52" s="1"/>
      <c r="V52" s="3"/>
    </row>
    <row r="53" spans="1:22" ht="14.4" customHeight="1" x14ac:dyDescent="0.3">
      <c r="A53" s="1">
        <v>43</v>
      </c>
      <c r="B53" s="1" t="s">
        <v>5</v>
      </c>
      <c r="C53" s="1"/>
      <c r="D53" s="2"/>
      <c r="G53" s="1">
        <v>43</v>
      </c>
      <c r="H53" s="1" t="s">
        <v>7</v>
      </c>
      <c r="I53" s="1"/>
      <c r="J53" s="2"/>
      <c r="M53" s="1">
        <v>43</v>
      </c>
      <c r="N53" s="1" t="s">
        <v>5</v>
      </c>
      <c r="O53" s="1"/>
      <c r="P53" s="3"/>
      <c r="S53" s="1">
        <v>43</v>
      </c>
      <c r="T53" s="1" t="s">
        <v>7</v>
      </c>
      <c r="U53" s="1"/>
      <c r="V53" s="3"/>
    </row>
    <row r="54" spans="1:22" ht="14.4" customHeight="1" x14ac:dyDescent="0.3">
      <c r="A54" s="1">
        <v>44</v>
      </c>
      <c r="B54" s="1" t="s">
        <v>5</v>
      </c>
      <c r="C54" s="1"/>
      <c r="D54" s="2"/>
      <c r="G54" s="1">
        <v>44</v>
      </c>
      <c r="H54" s="1" t="s">
        <v>7</v>
      </c>
      <c r="I54" s="1"/>
      <c r="J54" s="2"/>
      <c r="M54" s="1">
        <v>44</v>
      </c>
      <c r="N54" s="1" t="s">
        <v>5</v>
      </c>
      <c r="O54" s="1"/>
      <c r="P54" s="3"/>
      <c r="S54" s="1">
        <v>44</v>
      </c>
      <c r="T54" s="1" t="s">
        <v>7</v>
      </c>
      <c r="U54" s="1"/>
      <c r="V54" s="3"/>
    </row>
    <row r="55" spans="1:22" ht="14.4" customHeight="1" x14ac:dyDescent="0.3">
      <c r="A55" s="1">
        <v>45</v>
      </c>
      <c r="B55" s="1" t="s">
        <v>5</v>
      </c>
      <c r="C55" s="1"/>
      <c r="D55" s="2"/>
      <c r="G55" s="1">
        <v>45</v>
      </c>
      <c r="H55" s="1" t="s">
        <v>7</v>
      </c>
      <c r="I55" s="1"/>
      <c r="J55" s="2"/>
      <c r="M55" s="1">
        <v>45</v>
      </c>
      <c r="N55" s="1" t="s">
        <v>5</v>
      </c>
      <c r="O55" s="1"/>
      <c r="P55" s="3"/>
      <c r="S55" s="1">
        <v>45</v>
      </c>
      <c r="T55" s="1" t="s">
        <v>7</v>
      </c>
      <c r="U55" s="1"/>
      <c r="V55" s="3"/>
    </row>
    <row r="56" spans="1:22" ht="14.4" customHeight="1" x14ac:dyDescent="0.3">
      <c r="A56" s="1">
        <v>46</v>
      </c>
      <c r="B56" s="1" t="s">
        <v>5</v>
      </c>
      <c r="C56" s="1"/>
      <c r="D56" s="2"/>
      <c r="G56" s="1">
        <v>46</v>
      </c>
      <c r="H56" s="1" t="s">
        <v>7</v>
      </c>
      <c r="I56" s="1"/>
      <c r="J56" s="2"/>
      <c r="M56" s="1">
        <v>46</v>
      </c>
      <c r="N56" s="1" t="s">
        <v>5</v>
      </c>
      <c r="O56" s="1"/>
      <c r="P56" s="3"/>
      <c r="S56" s="1">
        <v>46</v>
      </c>
      <c r="T56" s="1" t="s">
        <v>7</v>
      </c>
      <c r="U56" s="1"/>
      <c r="V56" s="3"/>
    </row>
    <row r="57" spans="1:22" ht="14.4" customHeight="1" x14ac:dyDescent="0.3">
      <c r="A57" s="1">
        <v>47</v>
      </c>
      <c r="B57" s="1" t="s">
        <v>5</v>
      </c>
      <c r="C57" s="1"/>
      <c r="D57" s="2"/>
      <c r="G57" s="1">
        <v>47</v>
      </c>
      <c r="H57" s="1" t="s">
        <v>7</v>
      </c>
      <c r="I57" s="1"/>
      <c r="J57" s="2"/>
      <c r="M57" s="1">
        <v>47</v>
      </c>
      <c r="N57" s="1" t="s">
        <v>5</v>
      </c>
      <c r="O57" s="1"/>
      <c r="P57" s="3"/>
      <c r="S57" s="1">
        <v>47</v>
      </c>
      <c r="T57" s="1" t="s">
        <v>7</v>
      </c>
      <c r="U57" s="1"/>
      <c r="V57" s="3"/>
    </row>
    <row r="58" spans="1:22" ht="14.4" customHeight="1" x14ac:dyDescent="0.3">
      <c r="A58" s="1">
        <v>48</v>
      </c>
      <c r="B58" s="1" t="s">
        <v>5</v>
      </c>
      <c r="C58" s="1"/>
      <c r="D58" s="2"/>
      <c r="G58" s="1">
        <v>48</v>
      </c>
      <c r="H58" s="1" t="s">
        <v>7</v>
      </c>
      <c r="I58" s="1"/>
      <c r="J58" s="2"/>
      <c r="M58" s="1">
        <v>48</v>
      </c>
      <c r="N58" s="1" t="s">
        <v>5</v>
      </c>
      <c r="O58" s="1"/>
      <c r="P58" s="3"/>
      <c r="S58" s="1">
        <v>48</v>
      </c>
      <c r="T58" s="1" t="s">
        <v>7</v>
      </c>
      <c r="U58" s="1"/>
      <c r="V58" s="3"/>
    </row>
    <row r="59" spans="1:22" ht="14.4" customHeight="1" x14ac:dyDescent="0.3">
      <c r="A59" s="1">
        <v>49</v>
      </c>
      <c r="B59" s="1" t="s">
        <v>5</v>
      </c>
      <c r="C59" s="1"/>
      <c r="D59" s="2"/>
      <c r="G59" s="1">
        <v>49</v>
      </c>
      <c r="H59" s="1" t="s">
        <v>7</v>
      </c>
      <c r="I59" s="1"/>
      <c r="J59" s="2"/>
      <c r="M59" s="1">
        <v>49</v>
      </c>
      <c r="N59" s="1" t="s">
        <v>5</v>
      </c>
      <c r="O59" s="1"/>
      <c r="P59" s="3"/>
      <c r="S59" s="1">
        <v>49</v>
      </c>
      <c r="T59" s="1" t="s">
        <v>7</v>
      </c>
      <c r="U59" s="1"/>
      <c r="V59" s="3"/>
    </row>
    <row r="60" spans="1:22" ht="14.4" customHeight="1" x14ac:dyDescent="0.3">
      <c r="A60" s="1">
        <v>50</v>
      </c>
      <c r="B60" s="1" t="s">
        <v>5</v>
      </c>
      <c r="C60" s="1"/>
      <c r="D60" s="2"/>
      <c r="G60" s="1">
        <v>50</v>
      </c>
      <c r="H60" s="1" t="s">
        <v>7</v>
      </c>
      <c r="I60" s="1"/>
      <c r="J60" s="2"/>
      <c r="M60" s="1">
        <v>50</v>
      </c>
      <c r="N60" s="1" t="s">
        <v>5</v>
      </c>
      <c r="O60" s="1"/>
      <c r="P60" s="3"/>
      <c r="S60" s="1">
        <v>50</v>
      </c>
      <c r="T60" s="1" t="s">
        <v>7</v>
      </c>
      <c r="U60" s="1"/>
      <c r="V60" s="3"/>
    </row>
    <row r="61" spans="1:22" ht="14.4" customHeight="1" x14ac:dyDescent="0.3">
      <c r="A61" s="1">
        <v>51</v>
      </c>
      <c r="B61" s="1" t="s">
        <v>5</v>
      </c>
      <c r="C61" s="1"/>
      <c r="D61" s="2"/>
      <c r="G61" s="1">
        <v>51</v>
      </c>
      <c r="H61" s="1" t="s">
        <v>7</v>
      </c>
      <c r="I61" s="1"/>
      <c r="J61" s="2"/>
      <c r="M61" s="1">
        <v>51</v>
      </c>
      <c r="N61" s="1" t="s">
        <v>5</v>
      </c>
      <c r="O61" s="1"/>
      <c r="P61" s="3"/>
      <c r="S61" s="1">
        <v>51</v>
      </c>
      <c r="T61" s="1" t="s">
        <v>7</v>
      </c>
      <c r="U61" s="1"/>
      <c r="V61" s="3"/>
    </row>
    <row r="62" spans="1:22" ht="14.4" customHeight="1" x14ac:dyDescent="0.3">
      <c r="A62" s="1">
        <v>52</v>
      </c>
      <c r="B62" s="1" t="s">
        <v>5</v>
      </c>
      <c r="C62" s="1"/>
      <c r="D62" s="2"/>
      <c r="G62" s="1">
        <v>52</v>
      </c>
      <c r="H62" s="1" t="s">
        <v>7</v>
      </c>
      <c r="I62" s="1"/>
      <c r="J62" s="2"/>
      <c r="M62" s="1">
        <v>52</v>
      </c>
      <c r="N62" s="1" t="s">
        <v>5</v>
      </c>
      <c r="O62" s="1"/>
      <c r="P62" s="3"/>
      <c r="S62" s="1">
        <v>52</v>
      </c>
      <c r="T62" s="1" t="s">
        <v>7</v>
      </c>
      <c r="U62" s="1"/>
      <c r="V62" s="3"/>
    </row>
    <row r="63" spans="1:22" ht="14.4" customHeight="1" x14ac:dyDescent="0.3">
      <c r="A63" s="1">
        <v>53</v>
      </c>
      <c r="B63" s="1" t="s">
        <v>5</v>
      </c>
      <c r="C63" s="1"/>
      <c r="D63" s="2"/>
      <c r="G63" s="1">
        <v>53</v>
      </c>
      <c r="H63" s="1" t="s">
        <v>7</v>
      </c>
      <c r="I63" s="1"/>
      <c r="J63" s="2"/>
      <c r="M63" s="1">
        <v>53</v>
      </c>
      <c r="N63" s="1" t="s">
        <v>5</v>
      </c>
      <c r="O63" s="1"/>
      <c r="P63" s="3"/>
      <c r="S63" s="1">
        <v>53</v>
      </c>
      <c r="T63" s="1" t="s">
        <v>7</v>
      </c>
      <c r="U63" s="1"/>
      <c r="V63" s="3"/>
    </row>
    <row r="64" spans="1:22" ht="14.4" customHeight="1" x14ac:dyDescent="0.3">
      <c r="A64" s="1">
        <v>54</v>
      </c>
      <c r="B64" s="1" t="s">
        <v>5</v>
      </c>
      <c r="C64" s="1"/>
      <c r="D64" s="2"/>
      <c r="G64" s="1">
        <v>54</v>
      </c>
      <c r="H64" s="1" t="s">
        <v>7</v>
      </c>
      <c r="I64" s="1"/>
      <c r="J64" s="2"/>
      <c r="M64" s="1">
        <v>54</v>
      </c>
      <c r="N64" s="1" t="s">
        <v>5</v>
      </c>
      <c r="O64" s="1"/>
      <c r="P64" s="3"/>
      <c r="S64" s="1">
        <v>54</v>
      </c>
      <c r="T64" s="1" t="s">
        <v>7</v>
      </c>
      <c r="U64" s="1"/>
      <c r="V64" s="3"/>
    </row>
    <row r="65" spans="1:23" ht="14.4" customHeight="1" x14ac:dyDescent="0.3">
      <c r="A65" s="1">
        <v>55</v>
      </c>
      <c r="B65" s="1" t="s">
        <v>5</v>
      </c>
      <c r="C65" s="1"/>
      <c r="D65" s="2"/>
      <c r="G65" s="1">
        <v>55</v>
      </c>
      <c r="H65" s="1" t="s">
        <v>7</v>
      </c>
      <c r="I65" s="1"/>
      <c r="J65" s="2"/>
      <c r="M65" s="1">
        <v>55</v>
      </c>
      <c r="N65" s="1" t="s">
        <v>5</v>
      </c>
      <c r="O65" s="1"/>
      <c r="P65" s="3"/>
      <c r="S65" s="1">
        <v>55</v>
      </c>
      <c r="T65" s="1" t="s">
        <v>7</v>
      </c>
      <c r="U65" s="1"/>
      <c r="V65" s="3"/>
    </row>
    <row r="66" spans="1:23" ht="14.4" customHeight="1" x14ac:dyDescent="0.3">
      <c r="A66" s="1">
        <v>56</v>
      </c>
      <c r="B66" s="1" t="s">
        <v>5</v>
      </c>
      <c r="C66" s="1"/>
      <c r="D66" s="2"/>
      <c r="G66" s="1">
        <v>56</v>
      </c>
      <c r="H66" s="1" t="s">
        <v>7</v>
      </c>
      <c r="I66" s="1"/>
      <c r="J66" s="2"/>
      <c r="M66" s="1">
        <v>56</v>
      </c>
      <c r="N66" s="1" t="s">
        <v>5</v>
      </c>
      <c r="O66" s="1"/>
      <c r="P66" s="3"/>
      <c r="S66" s="1">
        <v>56</v>
      </c>
      <c r="T66" s="1" t="s">
        <v>7</v>
      </c>
      <c r="U66" s="1"/>
      <c r="V66" s="3"/>
    </row>
    <row r="67" spans="1:23" ht="14.4" customHeight="1" x14ac:dyDescent="0.3">
      <c r="A67" s="1">
        <v>57</v>
      </c>
      <c r="B67" s="1" t="s">
        <v>5</v>
      </c>
      <c r="C67" s="1"/>
      <c r="D67" s="2"/>
      <c r="G67" s="1">
        <v>57</v>
      </c>
      <c r="H67" s="1" t="s">
        <v>7</v>
      </c>
      <c r="I67" s="1"/>
      <c r="J67" s="2"/>
      <c r="M67" s="1">
        <v>57</v>
      </c>
      <c r="N67" s="1" t="s">
        <v>5</v>
      </c>
      <c r="O67" s="1"/>
      <c r="P67" s="3"/>
      <c r="S67" s="1">
        <v>57</v>
      </c>
      <c r="T67" s="1" t="s">
        <v>7</v>
      </c>
      <c r="U67" s="1"/>
      <c r="V67" s="3"/>
    </row>
    <row r="68" spans="1:23" ht="14.4" customHeight="1" x14ac:dyDescent="0.3">
      <c r="A68" s="1">
        <v>58</v>
      </c>
      <c r="B68" s="1" t="s">
        <v>5</v>
      </c>
      <c r="C68" s="1"/>
      <c r="D68" s="2"/>
      <c r="G68" s="1">
        <v>58</v>
      </c>
      <c r="H68" s="1" t="s">
        <v>7</v>
      </c>
      <c r="I68" s="1"/>
      <c r="J68" s="2"/>
      <c r="M68" s="1">
        <v>58</v>
      </c>
      <c r="N68" s="1" t="s">
        <v>5</v>
      </c>
      <c r="O68" s="1"/>
      <c r="P68" s="3"/>
      <c r="S68" s="1">
        <v>58</v>
      </c>
      <c r="T68" s="1" t="s">
        <v>7</v>
      </c>
      <c r="U68" s="1"/>
      <c r="V68" s="3"/>
    </row>
    <row r="69" spans="1:23" ht="14.4" customHeight="1" x14ac:dyDescent="0.3">
      <c r="A69" s="1">
        <v>59</v>
      </c>
      <c r="B69" s="1" t="s">
        <v>5</v>
      </c>
      <c r="C69" s="1"/>
      <c r="D69" s="2"/>
      <c r="G69" s="1">
        <v>59</v>
      </c>
      <c r="H69" s="1" t="s">
        <v>7</v>
      </c>
      <c r="I69" s="1"/>
      <c r="J69" s="2"/>
      <c r="M69" s="1">
        <v>59</v>
      </c>
      <c r="N69" s="1" t="s">
        <v>5</v>
      </c>
      <c r="O69" s="1"/>
      <c r="P69" s="3"/>
      <c r="S69" s="1">
        <v>59</v>
      </c>
      <c r="T69" s="1" t="s">
        <v>7</v>
      </c>
      <c r="U69" s="1"/>
      <c r="V69" s="3"/>
    </row>
    <row r="70" spans="1:23" ht="14.4" customHeight="1" x14ac:dyDescent="0.3">
      <c r="A70" s="1">
        <v>60</v>
      </c>
      <c r="B70" s="1" t="s">
        <v>5</v>
      </c>
      <c r="C70" s="1"/>
      <c r="D70" s="2"/>
      <c r="G70" s="1">
        <v>60</v>
      </c>
      <c r="H70" s="1" t="s">
        <v>7</v>
      </c>
      <c r="I70" s="1"/>
      <c r="J70" s="2"/>
      <c r="M70" s="1">
        <v>60</v>
      </c>
      <c r="N70" s="1" t="s">
        <v>5</v>
      </c>
      <c r="O70" s="1"/>
      <c r="P70" s="3"/>
      <c r="S70" s="1">
        <v>60</v>
      </c>
      <c r="T70" s="1" t="s">
        <v>7</v>
      </c>
      <c r="U70" s="1"/>
      <c r="V70" s="3"/>
    </row>
    <row r="73" spans="1:23" ht="14.4" customHeight="1" x14ac:dyDescent="0.3">
      <c r="A73" s="27" t="s">
        <v>9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ht="14.4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6" spans="1:23" ht="14.4" customHeight="1" x14ac:dyDescent="0.3">
      <c r="B76" s="12" t="s">
        <v>11</v>
      </c>
      <c r="C76" s="13"/>
      <c r="D76" s="13"/>
      <c r="E76" s="14"/>
      <c r="H76" s="12" t="s">
        <v>26</v>
      </c>
      <c r="I76" s="13"/>
      <c r="J76" s="13"/>
      <c r="K76" s="13"/>
      <c r="L76" s="13"/>
      <c r="M76" s="13"/>
      <c r="N76" s="13"/>
      <c r="O76" s="13"/>
      <c r="P76" s="13"/>
      <c r="Q76" s="14"/>
      <c r="T76" s="18" t="s">
        <v>25</v>
      </c>
      <c r="U76" s="18"/>
      <c r="V76" s="18"/>
      <c r="W76" s="18"/>
    </row>
    <row r="77" spans="1:23" ht="14.4" customHeight="1" x14ac:dyDescent="0.3">
      <c r="B77" s="15"/>
      <c r="C77" s="16"/>
      <c r="D77" s="16"/>
      <c r="E77" s="17"/>
      <c r="H77" s="15"/>
      <c r="I77" s="16"/>
      <c r="J77" s="16"/>
      <c r="K77" s="16"/>
      <c r="L77" s="16"/>
      <c r="M77" s="16"/>
      <c r="N77" s="16"/>
      <c r="O77" s="16"/>
      <c r="P77" s="16"/>
      <c r="Q77" s="17"/>
      <c r="T77" s="18"/>
      <c r="U77" s="18"/>
      <c r="V77" s="18"/>
      <c r="W77" s="18"/>
    </row>
    <row r="79" spans="1:23" ht="14.4" customHeight="1" x14ac:dyDescent="0.3">
      <c r="C79" s="30" t="s">
        <v>10</v>
      </c>
      <c r="D79" s="31"/>
      <c r="H79" s="30" t="s">
        <v>13</v>
      </c>
      <c r="I79" s="31"/>
      <c r="K79" t="s">
        <v>18</v>
      </c>
      <c r="N79" s="30" t="s">
        <v>22</v>
      </c>
      <c r="O79" s="31"/>
      <c r="Q79" s="6" t="s">
        <v>23</v>
      </c>
      <c r="U79" s="30" t="s">
        <v>10</v>
      </c>
      <c r="V79" s="31"/>
    </row>
    <row r="80" spans="1:23" ht="14.4" customHeight="1" x14ac:dyDescent="0.3">
      <c r="C80" s="32"/>
      <c r="D80" s="33"/>
      <c r="H80" s="5" t="s">
        <v>14</v>
      </c>
      <c r="I80" s="7">
        <f>SUMIFS($D$11:$D$70, $C$11:$C$70, "&gt;=01/01/2025", $C$11:$C$70, "&lt;=07/01/2025") + SUMIFS($J$11:$J$70, $I$11:$I$70, "&gt;=01/01/2025", $I$11:$I$70, "&lt;=07/01/2025") + SUMIFS($P$11:$P$70, $O$11:$O$70, "&gt;=01/01/2025", $O$11:$O$70, "&lt;=07/01/2025") + SUMIFS($V$11:$V$70, $U$11:$U$70, "&gt;=01/01/2025", $U$11:$U$70, "&lt;=07/01/2025")</f>
        <v>0</v>
      </c>
      <c r="K80" t="s">
        <v>19</v>
      </c>
      <c r="N80" s="5" t="s">
        <v>11</v>
      </c>
      <c r="O80" s="8">
        <f ca="1" xml:space="preserve"> C83 / (DAY(EOMONTH(TODAY(),0)) - DAY(TODAY()) + 1)</f>
        <v>0</v>
      </c>
      <c r="Q80" s="5">
        <f ca="1">DAY(EOMONTH(TODAY(),0)) - DAY(TODAY()) + 1</f>
        <v>1</v>
      </c>
      <c r="U80" s="32"/>
      <c r="V80" s="33"/>
    </row>
    <row r="81" spans="2:22" ht="14.4" customHeight="1" x14ac:dyDescent="0.3">
      <c r="C81" s="11"/>
      <c r="D81" s="11"/>
      <c r="H81" s="5" t="s">
        <v>15</v>
      </c>
      <c r="I81" s="7">
        <f>SUMIFS($D$11:$D$70, $C$11:$C$70, "&gt;=08/01/2025", $C$11:$C$70, "&lt;=14/01/2025") + SUMIFS($J$11:$J$70, $I$11:$I$70, "&gt;=08/01/2025", $I$11:$I$70, "&lt;=14/01/2025") + SUMIFS($P$11:$P$70, $O$11:$O$70, "&gt;=08/01/2025", $O$11:$O$70, "&lt;=14/01/2025") + SUMIFS($V$11:$V$70, $U$11:$U$70, "&gt;=08/01/2025", $U$11:$U$70, "&lt;=14/01/2025")</f>
        <v>0</v>
      </c>
      <c r="K81" t="s">
        <v>20</v>
      </c>
      <c r="N81" s="5" t="s">
        <v>8</v>
      </c>
      <c r="O81" s="8">
        <f ca="1" xml:space="preserve"> U83 / (DAY(EOMONTH(TODAY(),0)) - DAY(TODAY()) + 1)</f>
        <v>0</v>
      </c>
    </row>
    <row r="82" spans="2:22" ht="14.4" customHeight="1" x14ac:dyDescent="0.3">
      <c r="C82" s="30" t="s">
        <v>12</v>
      </c>
      <c r="D82" s="31"/>
      <c r="H82" s="5" t="s">
        <v>16</v>
      </c>
      <c r="I82" s="7">
        <f>SUMIFS($D$11:$D$70, $C$11:$C$70, "&gt;=15/01/2025", $C$11:$C$70, "&lt;=21/01/2025") + SUMIFS($J$11:$J$70, $I$11:$I$70, "&gt;=15/01/2025", $I$11:$I$70, "&lt;=21/01/2025") + SUMIFS($P$11:$P$70, $O$11:$O$70, "&gt;=15/01/2025", $O$11:$O$70, "&lt;=21/01/2025") + SUMIFS($V$11:$V$70, $U$11:$U$70, "&gt;=15/01/2025", $U$11:$U$70, "&lt;=21/01/2025")</f>
        <v>0</v>
      </c>
      <c r="U82" s="28" t="s">
        <v>12</v>
      </c>
      <c r="V82" s="28"/>
    </row>
    <row r="83" spans="2:22" ht="14.4" customHeight="1" x14ac:dyDescent="0.3">
      <c r="C83" s="32">
        <f>C80-E11-K11</f>
        <v>0</v>
      </c>
      <c r="D83" s="33"/>
      <c r="H83" s="5" t="s">
        <v>17</v>
      </c>
      <c r="I83" s="7">
        <f>SUMIFS($D$11:$D$70, $C$11:$C$70, "&gt;=22/01/2025", $C$11:$C$70, "&lt;=28/01/2025") + SUMIFS($J$11:$J$70, $I$11:$I$70, "&gt;=22/01/2025", $I$11:$I$70, "&lt;=28/01/2025") + SUMIFS($P$11:$P$70, $O$11:$O$70, "&gt;=22/01/2025", $O$11:$O$70, "&lt;=28/01/2025") + SUMIFS($V$11:$V$70, $U$11:$U$70, "&gt;=22/01/2025", $U$11:$U$70, "&lt;=28/01/2025")</f>
        <v>0</v>
      </c>
      <c r="U83" s="29">
        <f>U80-Q11-W11</f>
        <v>0</v>
      </c>
      <c r="V83" s="29"/>
    </row>
    <row r="84" spans="2:22" ht="14.4" customHeight="1" x14ac:dyDescent="0.3">
      <c r="H84" s="5" t="s">
        <v>21</v>
      </c>
      <c r="I84" s="7">
        <f>SUMIFS($D$11:$D$70, $C$11:$C$70, "&gt;=29/01/2025", $C$11:$C$70, "&lt;=31/01/2025") + SUMIFS($J$11:$J$70, $I$11:$I$70, "&gt;=29/01/2025", $I$11:$I$70, "&lt;=31/01/2025") + SUMIFS($P$11:$P$70, $O$11:$O$70, "&gt;=29/01/2025", $O$11:$O$70, "&lt;=31/01/2025") + SUMIFS($V$11:$V$70, $U$11:$U$70, "&gt;=29/01/2025", $U$11:$U$70, "&lt;=31/01/2025")</f>
        <v>0</v>
      </c>
    </row>
    <row r="90" spans="2:22" ht="14.4" customHeight="1" x14ac:dyDescent="0.3">
      <c r="T90" s="9">
        <f>Q11</f>
        <v>0</v>
      </c>
    </row>
    <row r="91" spans="2:22" ht="14.4" customHeight="1" x14ac:dyDescent="0.3">
      <c r="B91" s="9">
        <f>E11</f>
        <v>0</v>
      </c>
      <c r="T91" s="9">
        <f>W11</f>
        <v>0</v>
      </c>
    </row>
    <row r="92" spans="2:22" ht="14.4" customHeight="1" x14ac:dyDescent="0.3">
      <c r="B92" s="9">
        <f>K11</f>
        <v>0</v>
      </c>
      <c r="T92" s="9">
        <f>U83</f>
        <v>0</v>
      </c>
    </row>
    <row r="93" spans="2:22" ht="14.4" customHeight="1" x14ac:dyDescent="0.3">
      <c r="B93" s="9">
        <f>C83</f>
        <v>0</v>
      </c>
    </row>
  </sheetData>
  <mergeCells count="21">
    <mergeCell ref="C79:D79"/>
    <mergeCell ref="C80:D80"/>
    <mergeCell ref="C83:D83"/>
    <mergeCell ref="C82:D82"/>
    <mergeCell ref="H79:I79"/>
    <mergeCell ref="U82:V82"/>
    <mergeCell ref="U83:V83"/>
    <mergeCell ref="U79:V79"/>
    <mergeCell ref="U80:V80"/>
    <mergeCell ref="N79:O79"/>
    <mergeCell ref="B76:E77"/>
    <mergeCell ref="T76:W77"/>
    <mergeCell ref="A1:W3"/>
    <mergeCell ref="S8:W9"/>
    <mergeCell ref="A5:K6"/>
    <mergeCell ref="M5:W6"/>
    <mergeCell ref="A73:W74"/>
    <mergeCell ref="A8:E9"/>
    <mergeCell ref="G8:K9"/>
    <mergeCell ref="M8:Q9"/>
    <mergeCell ref="H76:Q77"/>
  </mergeCells>
  <conditionalFormatting sqref="B11:B70">
    <cfRule type="cellIs" dxfId="27" priority="36" operator="equal">
      <formula>"Makan Siang &amp; Malam"</formula>
    </cfRule>
    <cfRule type="cellIs" dxfId="26" priority="37" operator="equal">
      <formula>"Makan Malam"</formula>
    </cfRule>
    <cfRule type="cellIs" dxfId="25" priority="38" operator="equal">
      <formula>"Makan Siang"</formula>
    </cfRule>
    <cfRule type="cellIs" dxfId="24" priority="39" operator="equal">
      <formula>"Sarapan"</formula>
    </cfRule>
  </conditionalFormatting>
  <conditionalFormatting sqref="H11:H70">
    <cfRule type="cellIs" dxfId="23" priority="28" operator="equal">
      <formula>"Tokopedia"</formula>
    </cfRule>
    <cfRule type="cellIs" dxfId="22" priority="29" operator="equal">
      <formula>"Bluebird"</formula>
    </cfRule>
    <cfRule type="cellIs" dxfId="21" priority="30" operator="equal">
      <formula>"Gojek"</formula>
    </cfRule>
    <cfRule type="cellIs" dxfId="20" priority="31" operator="equal">
      <formula>"Telkomsel"</formula>
    </cfRule>
    <cfRule type="cellIs" dxfId="19" priority="32" operator="equal">
      <formula>"Laundry"</formula>
    </cfRule>
    <cfRule type="cellIs" dxfId="18" priority="33" operator="equal">
      <formula>"Superindo"</formula>
    </cfRule>
    <cfRule type="cellIs" dxfId="17" priority="34" operator="equal">
      <formula>"Indomaret"</formula>
    </cfRule>
    <cfRule type="cellIs" dxfId="16" priority="35" operator="equal">
      <formula>"Alfamart"</formula>
    </cfRule>
  </conditionalFormatting>
  <conditionalFormatting sqref="N11:N70">
    <cfRule type="cellIs" dxfId="15" priority="1" operator="equal">
      <formula>"Makan Siang &amp; Malam"</formula>
    </cfRule>
    <cfRule type="cellIs" dxfId="14" priority="2" operator="equal">
      <formula>"Makan Malam"</formula>
    </cfRule>
    <cfRule type="cellIs" dxfId="13" priority="3" operator="equal">
      <formula>"Makan Siang"</formula>
    </cfRule>
    <cfRule type="cellIs" dxfId="12" priority="4" operator="equal">
      <formula>"Sarapan"</formula>
    </cfRule>
  </conditionalFormatting>
  <conditionalFormatting sqref="Q80">
    <cfRule type="cellIs" dxfId="11" priority="16" operator="lessThan">
      <formula>7</formula>
    </cfRule>
    <cfRule type="cellIs" dxfId="10" priority="17" operator="between">
      <formula>14</formula>
      <formula>6</formula>
    </cfRule>
    <cfRule type="cellIs" dxfId="9" priority="18" operator="between">
      <formula>20</formula>
      <formula>13</formula>
    </cfRule>
    <cfRule type="cellIs" dxfId="8" priority="19" operator="between">
      <formula>28</formula>
      <formula>20</formula>
    </cfRule>
    <cfRule type="cellIs" dxfId="7" priority="20" operator="greaterThan">
      <formula>28</formula>
    </cfRule>
  </conditionalFormatting>
  <conditionalFormatting sqref="T11:T70">
    <cfRule type="cellIs" dxfId="6" priority="9" operator="equal">
      <formula>"Cuci Motor"</formula>
    </cfRule>
    <cfRule type="cellIs" dxfId="5" priority="10" operator="equal">
      <formula>"Air Galon"</formula>
    </cfRule>
    <cfRule type="cellIs" dxfId="4" priority="11" operator="equal">
      <formula>"Infaq"</formula>
    </cfRule>
    <cfRule type="cellIs" dxfId="3" priority="12" operator="equal">
      <formula>"Jajan"</formula>
    </cfRule>
    <cfRule type="cellIs" dxfId="2" priority="13" operator="equal">
      <formula>"Kelapa Hijau"</formula>
    </cfRule>
    <cfRule type="cellIs" dxfId="1" priority="14" operator="equal">
      <formula>"Kelapa Muda"</formula>
    </cfRule>
    <cfRule type="cellIs" dxfId="0" priority="15" operator="equal">
      <formula>"Parkir"</formula>
    </cfRule>
  </conditionalFormatting>
  <dataValidations count="3">
    <dataValidation type="list" allowBlank="1" showInputMessage="1" showErrorMessage="1" sqref="H11:H70" xr:uid="{112EC1AD-68D4-44CD-A421-F51814A2FE20}">
      <formula1>"Alfamart, Indomaret, Superindo, Laundry, Telkomsel, Gojek, Bluebird, Tokopedia, …,"</formula1>
    </dataValidation>
    <dataValidation type="list" allowBlank="1" showInputMessage="1" showErrorMessage="1" sqref="T11:T70" xr:uid="{7B77EA5E-B5C7-4F9D-A52F-A129264C5F25}">
      <formula1>"Parkir, Kelapa Muda, Kelapa Hijau, Jajan, Infaq, Air Galon, Cuci Motor, …,"</formula1>
    </dataValidation>
    <dataValidation type="list" showInputMessage="1" showErrorMessage="1" sqref="B11:B70 N11:N70" xr:uid="{7E3E4E0B-668A-4376-9E33-2F0FCE2425FD}">
      <formula1>"Sarapan, Makan Siang, Makan Malam, Makan Siang &amp; Malam, ….,"</formula1>
    </dataValidation>
  </dataValidations>
  <pageMargins left="0.7" right="0.7" top="0.75" bottom="0.75" header="0.3" footer="0.3"/>
  <pageSetup orientation="portrait" r:id="rId1"/>
  <ignoredErrors>
    <ignoredError sqref="I8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Utama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2025-07-31T06:43:58Z</dcterms:modified>
</cp:coreProperties>
</file>