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keseharian\Templates\"/>
    </mc:Choice>
  </mc:AlternateContent>
  <xr:revisionPtr revIDLastSave="0" documentId="13_ncr:1_{59DBD006-11B3-4BEC-B6BE-3BF7F9499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etail Transaksi" sheetId="2" r:id="rId2"/>
    <sheet name="Pengeluaran" sheetId="3" r:id="rId3"/>
    <sheet name="Pemasukan" sheetId="4" r:id="rId4"/>
    <sheet name="Pendukung" sheetId="5" r:id="rId5"/>
  </sheets>
  <definedNames>
    <definedName name="Alfamart">Pendukung!$F$2:$F$4</definedName>
    <definedName name="Bluebird">Pendukung!$L$2:$L$4</definedName>
    <definedName name="Gojek">Pendukung!$K$2:$K$4</definedName>
    <definedName name="Indomaret">Pendukung!$G$2:$G$4</definedName>
    <definedName name="Laundry">Pendukung!$I$2:$I$4</definedName>
    <definedName name="Makan_Malam">Pendukung!$C$2:$C$6</definedName>
    <definedName name="Makan_Siang">Pendukung!$B$2:$B$7</definedName>
    <definedName name="N_A">Pendukung!$D$2</definedName>
    <definedName name="Sarapan">Pendukung!$A$2:$A$5</definedName>
    <definedName name="Superindo">Pendukung!$H$2:$H$4</definedName>
    <definedName name="Telkomsel">Pendukung!$J$2:$J$4</definedName>
    <definedName name="Tokopedia">Pendukung!$M$2:$M$4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3" l="1"/>
  <c r="K33" i="2" s="1"/>
  <c r="S9" i="2"/>
  <c r="C9" i="2"/>
  <c r="G5" i="4"/>
  <c r="J9" i="2"/>
  <c r="S21" i="2"/>
  <c r="S20" i="2"/>
  <c r="C20" i="2"/>
  <c r="C19" i="2"/>
  <c r="J13" i="2"/>
  <c r="J12" i="2"/>
  <c r="J11" i="2"/>
  <c r="J10" i="2"/>
  <c r="N13" i="2"/>
  <c r="T33" i="2" l="1"/>
  <c r="S12" i="2"/>
  <c r="S22" i="2" s="1"/>
  <c r="C12" i="2"/>
  <c r="C21" i="2" s="1"/>
  <c r="T30" i="2"/>
  <c r="O10" i="2" l="1"/>
  <c r="O9" i="2"/>
  <c r="G8" i="3"/>
  <c r="K30" i="2" s="1"/>
</calcChain>
</file>

<file path=xl/sharedStrings.xml><?xml version="1.0" encoding="utf-8"?>
<sst xmlns="http://schemas.openxmlformats.org/spreadsheetml/2006/main" count="481" uniqueCount="71">
  <si>
    <t>Nama Kolom</t>
  </si>
  <si>
    <t>Ukuran Kolom</t>
  </si>
  <si>
    <t>Default</t>
  </si>
  <si>
    <t>No</t>
  </si>
  <si>
    <t>Kategori</t>
  </si>
  <si>
    <t>Detail</t>
  </si>
  <si>
    <t>Tanggal</t>
  </si>
  <si>
    <t>Harga</t>
  </si>
  <si>
    <t>Total</t>
  </si>
  <si>
    <t>sheet detail</t>
  </si>
  <si>
    <t>sheet pendukung</t>
  </si>
  <si>
    <t>sheet dashboard</t>
  </si>
  <si>
    <t>Sarapan</t>
  </si>
  <si>
    <t>Makan Siang</t>
  </si>
  <si>
    <t>Makan Malam</t>
  </si>
  <si>
    <t>N/A</t>
  </si>
  <si>
    <t>Alfamart</t>
  </si>
  <si>
    <t>Indomaret</t>
  </si>
  <si>
    <t>Superindo</t>
  </si>
  <si>
    <t>Laundry</t>
  </si>
  <si>
    <t>Telkomsel</t>
  </si>
  <si>
    <t>Gojek</t>
  </si>
  <si>
    <t>Bluebird</t>
  </si>
  <si>
    <t>Tokopedia</t>
  </si>
  <si>
    <t>Warteg</t>
  </si>
  <si>
    <t>Balsan</t>
  </si>
  <si>
    <t>Kebutuhan Dapur</t>
  </si>
  <si>
    <t>Baju</t>
  </si>
  <si>
    <t>Topup</t>
  </si>
  <si>
    <t>Bayar</t>
  </si>
  <si>
    <t>Kebutuhan Kos</t>
  </si>
  <si>
    <t>Nasi Kuning</t>
  </si>
  <si>
    <t>Nasi Goreng</t>
  </si>
  <si>
    <t>Burger Bangor</t>
  </si>
  <si>
    <t>Kebutuhan Mandi</t>
  </si>
  <si>
    <t>Gofood</t>
  </si>
  <si>
    <t>FKG</t>
  </si>
  <si>
    <t>Jajan</t>
  </si>
  <si>
    <t>Buah</t>
  </si>
  <si>
    <t>Bikin Sendiri</t>
  </si>
  <si>
    <t>Belanja Mingguan</t>
  </si>
  <si>
    <t>Detail Transaksi</t>
  </si>
  <si>
    <t>Pengeluaran</t>
  </si>
  <si>
    <t>Pemasukan</t>
  </si>
  <si>
    <t>Makanan Pokok</t>
  </si>
  <si>
    <t>N_A</t>
  </si>
  <si>
    <t>Pembayaran</t>
  </si>
  <si>
    <t>Kebutuhan Lain</t>
  </si>
  <si>
    <t>Uang Digital</t>
  </si>
  <si>
    <t>General</t>
  </si>
  <si>
    <t>Uang tunai</t>
  </si>
  <si>
    <t>Budget Awal</t>
  </si>
  <si>
    <t>Budget Akhir</t>
  </si>
  <si>
    <t>Ukuran Baris</t>
  </si>
  <si>
    <t>Panel Kontrol</t>
  </si>
  <si>
    <t>Tanggal Awal</t>
  </si>
  <si>
    <t>Tanggal Akhir</t>
  </si>
  <si>
    <t>Pengeluaran per Minggu</t>
  </si>
  <si>
    <t>Budget Maksimal per Hari</t>
  </si>
  <si>
    <t>Minggu 1</t>
  </si>
  <si>
    <t>Digital</t>
  </si>
  <si>
    <t>Minggu 2</t>
  </si>
  <si>
    <t>Tunai</t>
  </si>
  <si>
    <t>Minggu 3</t>
  </si>
  <si>
    <t>Minggu 4</t>
  </si>
  <si>
    <t>Sisa Hari</t>
  </si>
  <si>
    <t>Minggu 5</t>
  </si>
  <si>
    <t>Progress Bar Budget</t>
  </si>
  <si>
    <t>Alokasi Budget</t>
  </si>
  <si>
    <t>Kebutuhan</t>
  </si>
  <si>
    <t>Template Keuangan 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</si>
</sst>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3809]* #,##0.00_-;\-[$Rp-3809]* #,##0.00_-;_-[$Rp-3809]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0" fillId="0" borderId="0" xfId="0" applyAlignment="1">
      <alignment vertical="center"/>
    </xf>
    <xf numFmtId="44" fontId="0" fillId="0" borderId="0" xfId="0" applyNumberFormat="1"/>
    <xf numFmtId="44" fontId="0" fillId="0" borderId="0" xfId="1" applyFont="1"/>
    <xf numFmtId="0" fontId="2" fillId="3" borderId="1" xfId="0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6"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Grafik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'Detail Transaksi'!$J$9:$J$13</c:f>
              <c:numCache>
                <c:formatCode>_("Rp"* #,##0.00_);_("Rp"* \(#,##0.00\);_("Rp"*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3-4B4F-ABF3-0D86A884B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03440"/>
        <c:axId val="216144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'Detail Transaksi'!$K$9:$K$13</c15:sqref>
                        </c15:formulaRef>
                      </c:ext>
                    </c:extLst>
                    <c:numCache>
                      <c:formatCode>_("Rp"* #,##0.00_);_("Rp"* \(#,##0.00\);_("Rp"* "-"??_);_(@_)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2D3-4B4F-ABF3-0D86A884BD5D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'Detail Transaksi'!$L$9:$L$13</c15:sqref>
                        </c15:formulaRef>
                      </c:ext>
                    </c:extLst>
                    <c:numCache>
                      <c:formatCode>_("Rp"* #,##0.00_);_("Rp"* \(#,##0.00\);_("Rp"* "-"??_);_(@_)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2D3-4B4F-ABF3-0D86A884BD5D}"/>
                  </c:ext>
                </c:extLst>
              </c15:ser>
            </c15:filteredLineSeries>
          </c:ext>
        </c:extLst>
      </c:lineChart>
      <c:catAx>
        <c:axId val="2160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4480"/>
        <c:crosses val="autoZero"/>
        <c:auto val="1"/>
        <c:lblAlgn val="ctr"/>
        <c:lblOffset val="100"/>
        <c:noMultiLvlLbl val="0"/>
      </c:catAx>
      <c:valAx>
        <c:axId val="21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.00_);_(&quot;Rp&quot;* \(#,##0.00\);_(&quot;Rp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Pengeluaran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08B-B346-27F01B5A1C7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E9-408B-B346-27F01B5A1C7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E9-408B-B346-27F01B5A1C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'Detail Transaksi'!$C$19:$C$21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A-46B5-AB06-A48C19E8A3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</a:t>
            </a:r>
            <a:r>
              <a:rPr lang="en-ID" baseline="0"/>
              <a:t> Pengeluaran </a:t>
            </a:r>
            <a:r>
              <a:rPr lang="en-ID"/>
              <a:t>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8B-4799-AC3A-5B7481849EB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8B-4799-AC3A-5B7481849EB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8B-4799-AC3A-5B7481849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'Detail Transaksi'!$S$20:$S$22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D-4A9A-8150-8B22C5278E6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10885</xdr:colOff>
      <xdr:row>14</xdr:row>
      <xdr:rowOff>1</xdr:rowOff>
    </xdr:from>
    <xdr:to>
      <xdr:col>15</xdr:col>
      <xdr:colOff>794656</xdr:colOff>
      <xdr:row>24</xdr:row>
      <xdr:rowOff>239487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4CB1B-F463-4AF5-283B-2720DE1CD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10885</xdr:colOff>
      <xdr:row>14</xdr:row>
      <xdr:rowOff>0</xdr:rowOff>
    </xdr:from>
    <xdr:to>
      <xdr:col>6</xdr:col>
      <xdr:colOff>805542</xdr:colOff>
      <xdr:row>24</xdr:row>
      <xdr:rowOff>239486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37F413-4B8B-7148-FC60-D629FC75E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-1</xdr:colOff>
      <xdr:row>14</xdr:row>
      <xdr:rowOff>0</xdr:rowOff>
    </xdr:from>
    <xdr:to>
      <xdr:col>22</xdr:col>
      <xdr:colOff>794657</xdr:colOff>
      <xdr:row>24</xdr:row>
      <xdr:rowOff>239486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6F61A3-CB74-E6F2-F11E-EA465C763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3"/>
  <sheetViews>
    <sheetView tabSelected="1" zoomScale="70" zoomScaleNormal="70" workbookViewId="0">
      <selection activeCell="H17" sqref="H17"/>
    </sheetView>
  </sheetViews>
  <sheetFormatPr defaultColWidth="11.77734375" defaultRowHeight="14.4" x14ac:dyDescent="0.3"/>
  <sheetData>
    <row r="1" spans="2:23" ht="14.4" customHeight="1" x14ac:dyDescent="0.3">
      <c r="B1" s="14" t="s">
        <v>70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2:23" ht="14.4" customHeight="1" x14ac:dyDescent="0.3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2:23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</sheetData>
  <mergeCells count="1">
    <mergeCell ref="B1:W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6849-7E95-4158-9599-14A804DE713C}">
  <dimension ref="B1:W35"/>
  <sheetViews>
    <sheetView zoomScale="70" zoomScaleNormal="70" workbookViewId="0">
      <selection activeCell="H10" sqref="H10"/>
    </sheetView>
  </sheetViews>
  <sheetFormatPr defaultColWidth="11.77734375" defaultRowHeight="19.8" customHeight="1" x14ac:dyDescent="0.3"/>
  <cols>
    <col min="3" max="3" width="11.77734375" customWidth="1"/>
    <col min="19" max="19" width="11.77734375" customWidth="1"/>
  </cols>
  <sheetData>
    <row r="1" spans="2:23" ht="19.8" customHeight="1" x14ac:dyDescent="0.3">
      <c r="B1" s="14" t="s">
        <v>41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2:23" ht="19.8" customHeight="1" x14ac:dyDescent="0.3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2:23" ht="19.8" customHeight="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5" spans="2:23" ht="19.8" customHeight="1" x14ac:dyDescent="0.3">
      <c r="B5" s="17" t="s">
        <v>48</v>
      </c>
      <c r="C5" s="17"/>
      <c r="D5" s="17"/>
      <c r="E5" s="17"/>
      <c r="F5" s="17"/>
      <c r="G5" s="17"/>
      <c r="H5" s="11"/>
      <c r="I5" s="18" t="s">
        <v>49</v>
      </c>
      <c r="J5" s="19"/>
      <c r="K5" s="19"/>
      <c r="L5" s="19"/>
      <c r="M5" s="19"/>
      <c r="N5" s="19"/>
      <c r="O5" s="19"/>
      <c r="P5" s="20"/>
      <c r="Q5" s="11"/>
      <c r="R5" s="17" t="s">
        <v>50</v>
      </c>
      <c r="S5" s="17"/>
      <c r="T5" s="17"/>
      <c r="U5" s="17"/>
      <c r="V5" s="17"/>
      <c r="W5" s="17"/>
    </row>
    <row r="6" spans="2:23" ht="19.8" customHeight="1" x14ac:dyDescent="0.3">
      <c r="B6" s="17"/>
      <c r="C6" s="17"/>
      <c r="D6" s="17"/>
      <c r="E6" s="17"/>
      <c r="F6" s="17"/>
      <c r="G6" s="17"/>
      <c r="H6" s="11"/>
      <c r="I6" s="21"/>
      <c r="J6" s="22"/>
      <c r="K6" s="22"/>
      <c r="L6" s="22"/>
      <c r="M6" s="22"/>
      <c r="N6" s="22"/>
      <c r="O6" s="22"/>
      <c r="P6" s="23"/>
      <c r="Q6" s="11"/>
      <c r="R6" s="17"/>
      <c r="S6" s="17"/>
      <c r="T6" s="17"/>
      <c r="U6" s="17"/>
      <c r="V6" s="17"/>
      <c r="W6" s="17"/>
    </row>
    <row r="8" spans="2:23" ht="19.8" customHeight="1" x14ac:dyDescent="0.3">
      <c r="C8" s="16" t="s">
        <v>51</v>
      </c>
      <c r="D8" s="16"/>
      <c r="E8" s="16"/>
      <c r="F8" s="16"/>
      <c r="I8" s="16" t="s">
        <v>57</v>
      </c>
      <c r="J8" s="16"/>
      <c r="K8" s="16"/>
      <c r="L8" s="16"/>
      <c r="M8" s="11"/>
      <c r="N8" s="16" t="s">
        <v>58</v>
      </c>
      <c r="O8" s="16"/>
      <c r="P8" s="16"/>
      <c r="S8" s="16" t="s">
        <v>51</v>
      </c>
      <c r="T8" s="16"/>
      <c r="U8" s="16"/>
      <c r="V8" s="16"/>
    </row>
    <row r="9" spans="2:23" ht="19.8" customHeight="1" x14ac:dyDescent="0.3">
      <c r="C9" s="15">
        <f>SUMIF(Pemasukan!D5:D14, "Digital", Pemasukan!F5:F14)</f>
        <v>0</v>
      </c>
      <c r="D9" s="15"/>
      <c r="E9" s="15"/>
      <c r="F9" s="15"/>
      <c r="I9" s="4" t="s">
        <v>59</v>
      </c>
      <c r="J9" s="15">
        <f>SUMIFS(Pengeluaran!$F$8:$F$67, Pengeluaran!$E$8:$E$67, "&gt;="&amp;B31, Pengeluaran!$E$8:$E$67, "&lt;="&amp;E31)
+ SUMIFS(Pengeluaran!$N$8:$N$67, Pengeluaran!$M$8:$M$67, "&gt;="&amp;B31, Pengeluaran!$M$8:$M$67, "&lt;="&amp;E31)</f>
        <v>0</v>
      </c>
      <c r="K9" s="15"/>
      <c r="L9" s="15"/>
      <c r="M9" s="11"/>
      <c r="N9" s="4" t="s">
        <v>60</v>
      </c>
      <c r="O9" s="25">
        <f ca="1" xml:space="preserve"> C12 / (DAY(EOMONTH(TODAY(),0)) - DAY(TODAY()) + 1)</f>
        <v>0</v>
      </c>
      <c r="P9" s="25"/>
      <c r="S9" s="15">
        <f>SUMIF(Pemasukan!D5:D14, "Tunai", Pemasukan!F5:F14)</f>
        <v>0</v>
      </c>
      <c r="T9" s="15"/>
      <c r="U9" s="15"/>
      <c r="V9" s="15"/>
    </row>
    <row r="10" spans="2:23" ht="19.8" customHeight="1" x14ac:dyDescent="0.3">
      <c r="C10" s="6"/>
      <c r="D10" s="6"/>
      <c r="E10" s="11"/>
      <c r="F10" s="11"/>
      <c r="I10" s="4" t="s">
        <v>61</v>
      </c>
      <c r="J10" s="15">
        <f>SUMIFS(Pengeluaran!$F$8:$F$67, Pengeluaran!$E$8:$E$67, "&gt;="&amp;B32, Pengeluaran!$E$8:$E$67, "&lt;="&amp;E32)
+ SUMIFS(Pengeluaran!$N$8:$N$67, Pengeluaran!$M$8:$M$67, "&gt;="&amp;B32, Pengeluaran!$M$8:$M$67, "&lt;="&amp;E32)</f>
        <v>0</v>
      </c>
      <c r="K10" s="15"/>
      <c r="L10" s="15"/>
      <c r="M10" s="11"/>
      <c r="N10" s="4" t="s">
        <v>62</v>
      </c>
      <c r="O10" s="25">
        <f ca="1" xml:space="preserve"> S12 / (DAY(EOMONTH(TODAY(),0)) - DAY(TODAY()) + 1)</f>
        <v>0</v>
      </c>
      <c r="P10" s="25"/>
      <c r="S10" s="6"/>
      <c r="T10" s="6"/>
      <c r="U10" s="11"/>
      <c r="V10" s="11"/>
    </row>
    <row r="11" spans="2:23" ht="19.8" customHeight="1" x14ac:dyDescent="0.3">
      <c r="C11" s="16" t="s">
        <v>52</v>
      </c>
      <c r="D11" s="16"/>
      <c r="E11" s="16"/>
      <c r="F11" s="16"/>
      <c r="I11" s="4" t="s">
        <v>63</v>
      </c>
      <c r="J11" s="15">
        <f>SUMIFS(Pengeluaran!$F$8:$F$67, Pengeluaran!$E$8:$E$67, "&gt;="&amp;B33, Pengeluaran!$E$8:$E$67, "&lt;="&amp;E33)
+ SUMIFS(Pengeluaran!$N$8:$N$67, Pengeluaran!$M$8:$M$67, "&gt;="&amp;B33, Pengeluaran!$M$8:$M$67, "&lt;="&amp;E33)</f>
        <v>0</v>
      </c>
      <c r="K11" s="15"/>
      <c r="L11" s="15"/>
      <c r="M11" s="11"/>
      <c r="N11" s="11"/>
      <c r="O11" s="11"/>
      <c r="P11" s="11"/>
      <c r="S11" s="16" t="s">
        <v>52</v>
      </c>
      <c r="T11" s="16"/>
      <c r="U11" s="16"/>
      <c r="V11" s="16"/>
    </row>
    <row r="12" spans="2:23" ht="19.8" customHeight="1" x14ac:dyDescent="0.3">
      <c r="C12" s="15">
        <f>C9-SUMIF(Pengeluaran!D1:D60, "Digital", Pengeluaran!F1:F60)-SUMIF(Pengeluaran!L1:L60, "Digital", Pengeluaran!N1:N60)</f>
        <v>0</v>
      </c>
      <c r="D12" s="15"/>
      <c r="E12" s="15"/>
      <c r="F12" s="15"/>
      <c r="I12" s="4" t="s">
        <v>64</v>
      </c>
      <c r="J12" s="15">
        <f>SUMIFS(Pengeluaran!$F$8:$F$67, Pengeluaran!$E$8:$E$67, "&gt;="&amp;B34, Pengeluaran!$E$8:$E$67, "&lt;="&amp;E34)
+ SUMIFS(Pengeluaran!$N$8:$N$67, Pengeluaran!$M$8:$M$67, "&gt;="&amp;B34, Pengeluaran!$M$8:$M$67, "&lt;="&amp;E34)</f>
        <v>0</v>
      </c>
      <c r="K12" s="15"/>
      <c r="L12" s="15"/>
      <c r="M12" s="11"/>
      <c r="N12" s="16" t="s">
        <v>65</v>
      </c>
      <c r="O12" s="16"/>
      <c r="P12" s="11"/>
      <c r="S12" s="15">
        <f>S9-SUMIF(Pengeluaran!D1:D60, "Tunai", Pengeluaran!F1:F60)-SUMIF(Pengeluaran!L1:L60, "Tunai", Pengeluaran!N1:N60)</f>
        <v>0</v>
      </c>
      <c r="T12" s="15"/>
      <c r="U12" s="15"/>
      <c r="V12" s="15"/>
    </row>
    <row r="13" spans="2:23" ht="19.8" customHeight="1" x14ac:dyDescent="0.3">
      <c r="I13" s="4" t="s">
        <v>66</v>
      </c>
      <c r="J13" s="15">
        <f>SUMIFS(Pengeluaran!$F$8:$F$67, Pengeluaran!$E$8:$E$67, "&gt;="&amp;B35, Pengeluaran!$E$8:$E$67, "&lt;="&amp;E35)
+ SUMIFS(Pengeluaran!$N$8:$N$67, Pengeluaran!$M$8:$M$67, "&gt;="&amp;B35, Pengeluaran!$M$8:$M$67, "&lt;="&amp;E35)</f>
        <v>0</v>
      </c>
      <c r="K13" s="15"/>
      <c r="L13" s="15"/>
      <c r="M13" s="11"/>
      <c r="N13" s="24">
        <f ca="1">DAY(EOMONTH(TODAY(),0)) - DAY(TODAY()) + 1</f>
        <v>26</v>
      </c>
      <c r="O13" s="24"/>
      <c r="P13" s="11"/>
    </row>
    <row r="19" spans="2:23" ht="19.8" customHeight="1" x14ac:dyDescent="0.3">
      <c r="C19" s="13">
        <f>SUMIF(Pengeluaran!D1:D60, "Digital", Pengeluaran!F1:F60)</f>
        <v>0</v>
      </c>
    </row>
    <row r="20" spans="2:23" ht="19.8" customHeight="1" x14ac:dyDescent="0.3">
      <c r="C20" s="13">
        <f>SUMIF(Pengeluaran!L1:L60, "Digital", Pengeluaran!N1:N60)</f>
        <v>0</v>
      </c>
      <c r="S20" s="13">
        <f>SUMIF(Pengeluaran!D1:D60, "Tunai", Pengeluaran!F1:F60)</f>
        <v>0</v>
      </c>
    </row>
    <row r="21" spans="2:23" ht="19.8" customHeight="1" x14ac:dyDescent="0.3">
      <c r="C21" s="12">
        <f>C12</f>
        <v>0</v>
      </c>
      <c r="S21" s="13">
        <f>SUMIF(Pengeluaran!L1:L60, "Tunai", Pengeluaran!N1:N60)</f>
        <v>0</v>
      </c>
    </row>
    <row r="22" spans="2:23" ht="19.8" customHeight="1" x14ac:dyDescent="0.3">
      <c r="S22" s="12">
        <f>S12</f>
        <v>0</v>
      </c>
    </row>
    <row r="27" spans="2:23" ht="19.8" customHeight="1" x14ac:dyDescent="0.3">
      <c r="B27" s="26" t="s">
        <v>54</v>
      </c>
      <c r="C27" s="26"/>
      <c r="D27" s="26"/>
      <c r="E27" s="26"/>
      <c r="F27" s="26"/>
      <c r="G27" s="26"/>
      <c r="I27" s="26" t="s">
        <v>67</v>
      </c>
      <c r="J27" s="27"/>
      <c r="K27" s="27"/>
      <c r="L27" s="27"/>
      <c r="M27" s="27"/>
      <c r="N27" s="27"/>
      <c r="O27" s="27"/>
      <c r="P27" s="27"/>
      <c r="Q27" s="11"/>
      <c r="R27" s="26" t="s">
        <v>68</v>
      </c>
      <c r="S27" s="26"/>
      <c r="T27" s="26"/>
      <c r="U27" s="26"/>
      <c r="V27" s="26"/>
      <c r="W27" s="26"/>
    </row>
    <row r="28" spans="2:23" ht="19.8" customHeight="1" x14ac:dyDescent="0.3">
      <c r="B28" s="26"/>
      <c r="C28" s="26"/>
      <c r="D28" s="26"/>
      <c r="E28" s="26"/>
      <c r="F28" s="26"/>
      <c r="G28" s="26"/>
      <c r="I28" s="27"/>
      <c r="J28" s="27"/>
      <c r="K28" s="27"/>
      <c r="L28" s="27"/>
      <c r="M28" s="27"/>
      <c r="N28" s="27"/>
      <c r="O28" s="27"/>
      <c r="P28" s="27"/>
      <c r="Q28" s="11"/>
      <c r="R28" s="26"/>
      <c r="S28" s="26"/>
      <c r="T28" s="26"/>
      <c r="U28" s="26"/>
      <c r="V28" s="26"/>
      <c r="W28" s="26"/>
    </row>
    <row r="29" spans="2:23" ht="19.8" customHeight="1" x14ac:dyDescent="0.3">
      <c r="B29" s="11"/>
      <c r="C29" s="11"/>
      <c r="D29" s="11"/>
      <c r="E29" s="11"/>
      <c r="F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2:23" ht="19.8" customHeight="1" x14ac:dyDescent="0.3">
      <c r="B30" s="33" t="s">
        <v>55</v>
      </c>
      <c r="C30" s="33"/>
      <c r="D30" s="33"/>
      <c r="E30" s="33" t="s">
        <v>56</v>
      </c>
      <c r="F30" s="33"/>
      <c r="G30" s="33"/>
      <c r="I30" s="28" t="s">
        <v>44</v>
      </c>
      <c r="J30" s="28"/>
      <c r="K30" s="29">
        <f>Pengeluaran!G8</f>
        <v>0</v>
      </c>
      <c r="L30" s="30"/>
      <c r="M30" s="30"/>
      <c r="N30" s="30"/>
      <c r="O30" s="30"/>
      <c r="P30" s="30"/>
      <c r="R30" s="28" t="s">
        <v>44</v>
      </c>
      <c r="S30" s="28"/>
      <c r="T30" s="31">
        <f>(C9+S9)*40%</f>
        <v>0</v>
      </c>
      <c r="U30" s="32"/>
      <c r="V30" s="32"/>
      <c r="W30" s="32"/>
    </row>
    <row r="31" spans="2:23" ht="19.8" customHeight="1" x14ac:dyDescent="0.3">
      <c r="B31" s="34">
        <v>45658</v>
      </c>
      <c r="C31" s="34"/>
      <c r="D31" s="34"/>
      <c r="E31" s="34">
        <v>45664</v>
      </c>
      <c r="F31" s="34"/>
      <c r="G31" s="34"/>
      <c r="I31" s="28"/>
      <c r="J31" s="28"/>
      <c r="K31" s="30"/>
      <c r="L31" s="30"/>
      <c r="M31" s="30"/>
      <c r="N31" s="30"/>
      <c r="O31" s="30"/>
      <c r="P31" s="30"/>
      <c r="R31" s="28"/>
      <c r="S31" s="28"/>
      <c r="T31" s="32"/>
      <c r="U31" s="32"/>
      <c r="V31" s="32"/>
      <c r="W31" s="32"/>
    </row>
    <row r="32" spans="2:23" ht="19.8" customHeight="1" x14ac:dyDescent="0.3">
      <c r="B32" s="34">
        <v>45665</v>
      </c>
      <c r="C32" s="34"/>
      <c r="D32" s="34"/>
      <c r="E32" s="34">
        <v>45671</v>
      </c>
      <c r="F32" s="34"/>
      <c r="G32" s="34"/>
    </row>
    <row r="33" spans="2:23" ht="19.8" customHeight="1" x14ac:dyDescent="0.3">
      <c r="B33" s="34">
        <v>45672</v>
      </c>
      <c r="C33" s="34"/>
      <c r="D33" s="34"/>
      <c r="E33" s="34">
        <v>45678</v>
      </c>
      <c r="F33" s="34"/>
      <c r="G33" s="34"/>
      <c r="I33" s="28" t="s">
        <v>69</v>
      </c>
      <c r="J33" s="28"/>
      <c r="K33" s="29">
        <f>Pengeluaran!O8</f>
        <v>0</v>
      </c>
      <c r="L33" s="30"/>
      <c r="M33" s="30"/>
      <c r="N33" s="30"/>
      <c r="O33" s="30"/>
      <c r="P33" s="30"/>
      <c r="R33" s="28" t="s">
        <v>69</v>
      </c>
      <c r="S33" s="28"/>
      <c r="T33" s="31">
        <f>(C9+S9)*60%</f>
        <v>0</v>
      </c>
      <c r="U33" s="32"/>
      <c r="V33" s="32"/>
      <c r="W33" s="32"/>
    </row>
    <row r="34" spans="2:23" ht="19.8" customHeight="1" x14ac:dyDescent="0.3">
      <c r="B34" s="34">
        <v>45679</v>
      </c>
      <c r="C34" s="34"/>
      <c r="D34" s="34"/>
      <c r="E34" s="34">
        <v>45685</v>
      </c>
      <c r="F34" s="35"/>
      <c r="G34" s="35"/>
      <c r="I34" s="28"/>
      <c r="J34" s="28"/>
      <c r="K34" s="30"/>
      <c r="L34" s="30"/>
      <c r="M34" s="30"/>
      <c r="N34" s="30"/>
      <c r="O34" s="30"/>
      <c r="P34" s="30"/>
      <c r="R34" s="28"/>
      <c r="S34" s="28"/>
      <c r="T34" s="32"/>
      <c r="U34" s="32"/>
      <c r="V34" s="32"/>
      <c r="W34" s="32"/>
    </row>
    <row r="35" spans="2:23" ht="19.8" customHeight="1" x14ac:dyDescent="0.3">
      <c r="B35" s="34">
        <v>45686</v>
      </c>
      <c r="C35" s="34"/>
      <c r="D35" s="34"/>
      <c r="E35" s="34">
        <v>45688</v>
      </c>
      <c r="F35" s="34"/>
      <c r="G35" s="34"/>
    </row>
  </sheetData>
  <mergeCells count="46">
    <mergeCell ref="B34:D34"/>
    <mergeCell ref="B35:D35"/>
    <mergeCell ref="E30:G30"/>
    <mergeCell ref="E31:G31"/>
    <mergeCell ref="E32:G32"/>
    <mergeCell ref="E33:G33"/>
    <mergeCell ref="E34:G34"/>
    <mergeCell ref="E35:G35"/>
    <mergeCell ref="B27:G28"/>
    <mergeCell ref="B30:D30"/>
    <mergeCell ref="B31:D31"/>
    <mergeCell ref="B32:D32"/>
    <mergeCell ref="B33:D33"/>
    <mergeCell ref="I27:P28"/>
    <mergeCell ref="R27:W28"/>
    <mergeCell ref="I30:J31"/>
    <mergeCell ref="I33:J34"/>
    <mergeCell ref="K30:P31"/>
    <mergeCell ref="K33:P34"/>
    <mergeCell ref="R33:S34"/>
    <mergeCell ref="R30:S31"/>
    <mergeCell ref="T30:W31"/>
    <mergeCell ref="T33:W34"/>
    <mergeCell ref="J13:L13"/>
    <mergeCell ref="N13:O13"/>
    <mergeCell ref="I8:L8"/>
    <mergeCell ref="N8:P8"/>
    <mergeCell ref="J9:L9"/>
    <mergeCell ref="O9:P9"/>
    <mergeCell ref="J10:L10"/>
    <mergeCell ref="O10:P10"/>
    <mergeCell ref="B5:G6"/>
    <mergeCell ref="I5:P6"/>
    <mergeCell ref="R5:W6"/>
    <mergeCell ref="B1:W3"/>
    <mergeCell ref="C8:F8"/>
    <mergeCell ref="C9:F9"/>
    <mergeCell ref="C11:F11"/>
    <mergeCell ref="C12:F12"/>
    <mergeCell ref="S8:V8"/>
    <mergeCell ref="S9:V9"/>
    <mergeCell ref="S11:V11"/>
    <mergeCell ref="S12:V12"/>
    <mergeCell ref="J11:L11"/>
    <mergeCell ref="J12:L12"/>
    <mergeCell ref="N12:O12"/>
  </mergeCells>
  <conditionalFormatting sqref="K30:P31">
    <cfRule type="dataBar" priority="2">
      <dataBar showValue="0">
        <cfvo type="num" val="0"/>
        <cfvo type="formula" val="($C$9+$S$9)*40%"/>
        <color rgb="FFFF0000"/>
      </dataBar>
      <extLst>
        <ext xmlns:x14="http://schemas.microsoft.com/office/spreadsheetml/2009/9/main" uri="{B025F937-C7B1-47D3-B67F-A62EFF666E3E}">
          <x14:id>{5646B469-FF57-42D0-9BBE-FDC899FCFD0F}</x14:id>
        </ext>
      </extLst>
    </cfRule>
  </conditionalFormatting>
  <conditionalFormatting sqref="K33:P34">
    <cfRule type="dataBar" priority="1">
      <dataBar showValue="0">
        <cfvo type="num" val="0"/>
        <cfvo type="formula" val="($C$9+$S$9)*60%"/>
        <color rgb="FFFFC000"/>
      </dataBar>
      <extLst>
        <ext xmlns:x14="http://schemas.microsoft.com/office/spreadsheetml/2009/9/main" uri="{B025F937-C7B1-47D3-B67F-A62EFF666E3E}">
          <x14:id>{206CED66-3B4E-4B6D-B128-7E37D541D3DA}</x14:id>
        </ext>
      </extLst>
    </cfRule>
  </conditionalFormatting>
  <conditionalFormatting sqref="N13">
    <cfRule type="cellIs" dxfId="15" priority="8" operator="lessThan">
      <formula>7</formula>
    </cfRule>
    <cfRule type="cellIs" dxfId="14" priority="9" operator="between">
      <formula>14</formula>
      <formula>6</formula>
    </cfRule>
    <cfRule type="cellIs" dxfId="13" priority="10" operator="between">
      <formula>20</formula>
      <formula>13</formula>
    </cfRule>
    <cfRule type="cellIs" dxfId="12" priority="11" operator="between">
      <formula>28</formula>
      <formula>20</formula>
    </cfRule>
    <cfRule type="cellIs" dxfId="11" priority="12" operator="greaterThan">
      <formula>28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46B469-FF57-42D0-9BBE-FDC899FCFD0F}">
            <x14:dataBar minLength="0" maxLength="100" border="1" gradient="0" negativeBarBorderColorSameAsPositive="0">
              <x14:cfvo type="num">
                <xm:f>0</xm:f>
              </x14:cfvo>
              <x14:cfvo type="formula">
                <xm:f>($C$9+$S$9)*40%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K30:P31</xm:sqref>
        </x14:conditionalFormatting>
        <x14:conditionalFormatting xmlns:xm="http://schemas.microsoft.com/office/excel/2006/main">
          <x14:cfRule type="dataBar" id="{206CED66-3B4E-4B6D-B128-7E37D541D3DA}">
            <x14:dataBar minLength="0" maxLength="100" gradient="0">
              <x14:cfvo type="num">
                <xm:f>0</xm:f>
              </x14:cfvo>
              <x14:cfvo type="formula">
                <xm:f>($C$9+$S$9)*60%</xm:f>
              </x14:cfvo>
              <x14:negativeFillColor rgb="FFFF0000"/>
              <x14:axisColor rgb="FF000000"/>
            </x14:dataBar>
          </x14:cfRule>
          <xm:sqref>K33:P34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6C97-89A0-4FA1-BFF1-08BF0F75621B}">
  <dimension ref="A1:O67"/>
  <sheetViews>
    <sheetView workbookViewId="0">
      <selection activeCell="O10" sqref="O10"/>
    </sheetView>
  </sheetViews>
  <sheetFormatPr defaultRowHeight="14.4" x14ac:dyDescent="0.3"/>
  <cols>
    <col min="1" max="1" width="5.6640625" customWidth="1"/>
    <col min="2" max="3" width="16.77734375" customWidth="1"/>
    <col min="4" max="5" width="12.77734375" customWidth="1"/>
    <col min="6" max="7" width="15.5546875" customWidth="1"/>
    <col min="9" max="9" width="5.6640625" customWidth="1"/>
    <col min="10" max="11" width="16.77734375" customWidth="1"/>
    <col min="12" max="13" width="12.77734375" customWidth="1"/>
    <col min="14" max="15" width="15.5546875" customWidth="1"/>
  </cols>
  <sheetData>
    <row r="1" spans="1:15" ht="14.4" customHeight="1" x14ac:dyDescent="0.3">
      <c r="A1" s="14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4.4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14.4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5" spans="1:15" ht="14.4" customHeight="1" x14ac:dyDescent="0.3">
      <c r="A5" s="26" t="s">
        <v>44</v>
      </c>
      <c r="B5" s="26"/>
      <c r="C5" s="26"/>
      <c r="D5" s="26"/>
      <c r="E5" s="26"/>
      <c r="F5" s="26"/>
      <c r="G5" s="26"/>
      <c r="I5" s="26" t="s">
        <v>47</v>
      </c>
      <c r="J5" s="26"/>
      <c r="K5" s="26"/>
      <c r="L5" s="26"/>
      <c r="M5" s="26"/>
      <c r="N5" s="26"/>
      <c r="O5" s="26"/>
    </row>
    <row r="6" spans="1:15" ht="14.4" customHeight="1" x14ac:dyDescent="0.3">
      <c r="A6" s="26"/>
      <c r="B6" s="26"/>
      <c r="C6" s="26"/>
      <c r="D6" s="26"/>
      <c r="E6" s="26"/>
      <c r="F6" s="26"/>
      <c r="G6" s="26"/>
      <c r="I6" s="26"/>
      <c r="J6" s="26"/>
      <c r="K6" s="26"/>
      <c r="L6" s="26"/>
      <c r="M6" s="26"/>
      <c r="N6" s="26"/>
      <c r="O6" s="26"/>
    </row>
    <row r="7" spans="1:15" x14ac:dyDescent="0.3">
      <c r="A7" s="4" t="s">
        <v>3</v>
      </c>
      <c r="B7" s="4" t="s">
        <v>4</v>
      </c>
      <c r="C7" s="4" t="s">
        <v>5</v>
      </c>
      <c r="D7" s="4" t="s">
        <v>46</v>
      </c>
      <c r="E7" s="4" t="s">
        <v>6</v>
      </c>
      <c r="F7" s="4" t="s">
        <v>7</v>
      </c>
      <c r="G7" s="4" t="s">
        <v>8</v>
      </c>
      <c r="I7" s="4" t="s">
        <v>3</v>
      </c>
      <c r="J7" s="4" t="s">
        <v>4</v>
      </c>
      <c r="K7" s="4" t="s">
        <v>5</v>
      </c>
      <c r="L7" s="4" t="s">
        <v>46</v>
      </c>
      <c r="M7" s="4" t="s">
        <v>6</v>
      </c>
      <c r="N7" s="4" t="s">
        <v>7</v>
      </c>
      <c r="O7" s="4" t="s">
        <v>8</v>
      </c>
    </row>
    <row r="8" spans="1:15" x14ac:dyDescent="0.3">
      <c r="A8" s="4">
        <v>1</v>
      </c>
      <c r="B8" s="4" t="s">
        <v>45</v>
      </c>
      <c r="C8" s="4" t="s">
        <v>15</v>
      </c>
      <c r="D8" s="5" t="s">
        <v>15</v>
      </c>
      <c r="E8" s="7"/>
      <c r="F8" s="8"/>
      <c r="G8" s="9">
        <f>SUM(F8:F67)</f>
        <v>0</v>
      </c>
      <c r="I8" s="4">
        <v>1</v>
      </c>
      <c r="J8" s="4" t="s">
        <v>45</v>
      </c>
      <c r="K8" s="5" t="s">
        <v>15</v>
      </c>
      <c r="L8" s="5" t="s">
        <v>15</v>
      </c>
      <c r="M8" s="7"/>
      <c r="N8" s="8"/>
      <c r="O8" s="10">
        <f>SUM(N8:N67)</f>
        <v>0</v>
      </c>
    </row>
    <row r="9" spans="1:15" x14ac:dyDescent="0.3">
      <c r="A9" s="4">
        <v>2</v>
      </c>
      <c r="B9" s="4" t="s">
        <v>45</v>
      </c>
      <c r="C9" s="4" t="s">
        <v>15</v>
      </c>
      <c r="D9" s="5" t="s">
        <v>15</v>
      </c>
      <c r="E9" s="7"/>
      <c r="F9" s="8"/>
      <c r="I9" s="4">
        <v>2</v>
      </c>
      <c r="J9" s="4" t="s">
        <v>45</v>
      </c>
      <c r="K9" s="5" t="s">
        <v>15</v>
      </c>
      <c r="L9" s="5" t="s">
        <v>15</v>
      </c>
      <c r="M9" s="7"/>
      <c r="N9" s="8"/>
    </row>
    <row r="10" spans="1:15" x14ac:dyDescent="0.3">
      <c r="A10" s="4">
        <v>3</v>
      </c>
      <c r="B10" s="4" t="s">
        <v>45</v>
      </c>
      <c r="C10" s="4" t="s">
        <v>15</v>
      </c>
      <c r="D10" s="5" t="s">
        <v>15</v>
      </c>
      <c r="E10" s="7"/>
      <c r="F10" s="8"/>
      <c r="I10" s="4">
        <v>3</v>
      </c>
      <c r="J10" s="4" t="s">
        <v>45</v>
      </c>
      <c r="K10" s="5" t="s">
        <v>15</v>
      </c>
      <c r="L10" s="5" t="s">
        <v>15</v>
      </c>
      <c r="M10" s="7"/>
      <c r="N10" s="8"/>
    </row>
    <row r="11" spans="1:15" x14ac:dyDescent="0.3">
      <c r="A11" s="4">
        <v>4</v>
      </c>
      <c r="B11" s="4" t="s">
        <v>45</v>
      </c>
      <c r="C11" s="4" t="s">
        <v>15</v>
      </c>
      <c r="D11" s="5" t="s">
        <v>15</v>
      </c>
      <c r="E11" s="7"/>
      <c r="F11" s="8"/>
      <c r="I11" s="4">
        <v>4</v>
      </c>
      <c r="J11" s="4" t="s">
        <v>45</v>
      </c>
      <c r="K11" s="5" t="s">
        <v>15</v>
      </c>
      <c r="L11" s="5" t="s">
        <v>15</v>
      </c>
      <c r="M11" s="7"/>
      <c r="N11" s="8"/>
    </row>
    <row r="12" spans="1:15" x14ac:dyDescent="0.3">
      <c r="A12" s="4">
        <v>5</v>
      </c>
      <c r="B12" s="4" t="s">
        <v>45</v>
      </c>
      <c r="C12" s="4" t="s">
        <v>15</v>
      </c>
      <c r="D12" s="5" t="s">
        <v>15</v>
      </c>
      <c r="E12" s="7"/>
      <c r="F12" s="8"/>
      <c r="I12" s="4">
        <v>5</v>
      </c>
      <c r="J12" s="4" t="s">
        <v>45</v>
      </c>
      <c r="K12" s="5" t="s">
        <v>15</v>
      </c>
      <c r="L12" s="5" t="s">
        <v>15</v>
      </c>
      <c r="M12" s="7"/>
      <c r="N12" s="8"/>
    </row>
    <row r="13" spans="1:15" x14ac:dyDescent="0.3">
      <c r="A13" s="4">
        <v>6</v>
      </c>
      <c r="B13" s="4" t="s">
        <v>45</v>
      </c>
      <c r="C13" s="4" t="s">
        <v>15</v>
      </c>
      <c r="D13" s="5" t="s">
        <v>15</v>
      </c>
      <c r="E13" s="4"/>
      <c r="F13" s="8"/>
      <c r="I13" s="4">
        <v>6</v>
      </c>
      <c r="J13" s="4" t="s">
        <v>45</v>
      </c>
      <c r="K13" s="5" t="s">
        <v>15</v>
      </c>
      <c r="L13" s="5" t="s">
        <v>15</v>
      </c>
      <c r="M13" s="4"/>
      <c r="N13" s="8"/>
    </row>
    <row r="14" spans="1:15" x14ac:dyDescent="0.3">
      <c r="A14" s="4">
        <v>7</v>
      </c>
      <c r="B14" s="4" t="s">
        <v>45</v>
      </c>
      <c r="C14" s="4" t="s">
        <v>15</v>
      </c>
      <c r="D14" s="5" t="s">
        <v>15</v>
      </c>
      <c r="E14" s="4"/>
      <c r="F14" s="8"/>
      <c r="I14" s="4">
        <v>7</v>
      </c>
      <c r="J14" s="4" t="s">
        <v>45</v>
      </c>
      <c r="K14" s="5" t="s">
        <v>15</v>
      </c>
      <c r="L14" s="5" t="s">
        <v>15</v>
      </c>
      <c r="M14" s="4"/>
      <c r="N14" s="8"/>
    </row>
    <row r="15" spans="1:15" x14ac:dyDescent="0.3">
      <c r="A15" s="4">
        <v>8</v>
      </c>
      <c r="B15" s="4" t="s">
        <v>45</v>
      </c>
      <c r="C15" s="4" t="s">
        <v>15</v>
      </c>
      <c r="D15" s="5" t="s">
        <v>15</v>
      </c>
      <c r="E15" s="4"/>
      <c r="F15" s="8"/>
      <c r="I15" s="4">
        <v>8</v>
      </c>
      <c r="J15" s="4" t="s">
        <v>45</v>
      </c>
      <c r="K15" s="5" t="s">
        <v>15</v>
      </c>
      <c r="L15" s="5" t="s">
        <v>15</v>
      </c>
      <c r="M15" s="4"/>
      <c r="N15" s="8"/>
    </row>
    <row r="16" spans="1:15" x14ac:dyDescent="0.3">
      <c r="A16" s="4">
        <v>9</v>
      </c>
      <c r="B16" s="4" t="s">
        <v>45</v>
      </c>
      <c r="C16" s="4" t="s">
        <v>15</v>
      </c>
      <c r="D16" s="5" t="s">
        <v>15</v>
      </c>
      <c r="E16" s="4"/>
      <c r="F16" s="8"/>
      <c r="I16" s="4">
        <v>9</v>
      </c>
      <c r="J16" s="4" t="s">
        <v>45</v>
      </c>
      <c r="K16" s="5" t="s">
        <v>15</v>
      </c>
      <c r="L16" s="5" t="s">
        <v>15</v>
      </c>
      <c r="M16" s="4"/>
      <c r="N16" s="8"/>
    </row>
    <row r="17" spans="1:14" x14ac:dyDescent="0.3">
      <c r="A17" s="4">
        <v>10</v>
      </c>
      <c r="B17" s="4" t="s">
        <v>45</v>
      </c>
      <c r="C17" s="4" t="s">
        <v>15</v>
      </c>
      <c r="D17" s="5" t="s">
        <v>15</v>
      </c>
      <c r="E17" s="4"/>
      <c r="F17" s="8"/>
      <c r="I17" s="4">
        <v>10</v>
      </c>
      <c r="J17" s="4" t="s">
        <v>45</v>
      </c>
      <c r="K17" s="5" t="s">
        <v>15</v>
      </c>
      <c r="L17" s="5" t="s">
        <v>15</v>
      </c>
      <c r="M17" s="4"/>
      <c r="N17" s="8"/>
    </row>
    <row r="18" spans="1:14" x14ac:dyDescent="0.3">
      <c r="A18" s="4">
        <v>11</v>
      </c>
      <c r="B18" s="4" t="s">
        <v>45</v>
      </c>
      <c r="C18" s="4" t="s">
        <v>15</v>
      </c>
      <c r="D18" s="5" t="s">
        <v>15</v>
      </c>
      <c r="E18" s="4"/>
      <c r="F18" s="8"/>
      <c r="I18" s="4">
        <v>11</v>
      </c>
      <c r="J18" s="4" t="s">
        <v>45</v>
      </c>
      <c r="K18" s="5" t="s">
        <v>15</v>
      </c>
      <c r="L18" s="5" t="s">
        <v>15</v>
      </c>
      <c r="M18" s="4"/>
      <c r="N18" s="8"/>
    </row>
    <row r="19" spans="1:14" x14ac:dyDescent="0.3">
      <c r="A19" s="4">
        <v>12</v>
      </c>
      <c r="B19" s="4" t="s">
        <v>45</v>
      </c>
      <c r="C19" s="4" t="s">
        <v>15</v>
      </c>
      <c r="D19" s="5" t="s">
        <v>15</v>
      </c>
      <c r="E19" s="4"/>
      <c r="F19" s="8"/>
      <c r="I19" s="4">
        <v>12</v>
      </c>
      <c r="J19" s="4" t="s">
        <v>45</v>
      </c>
      <c r="K19" s="5" t="s">
        <v>15</v>
      </c>
      <c r="L19" s="5" t="s">
        <v>15</v>
      </c>
      <c r="M19" s="4"/>
      <c r="N19" s="8"/>
    </row>
    <row r="20" spans="1:14" x14ac:dyDescent="0.3">
      <c r="A20" s="4">
        <v>13</v>
      </c>
      <c r="B20" s="4" t="s">
        <v>45</v>
      </c>
      <c r="C20" s="4" t="s">
        <v>15</v>
      </c>
      <c r="D20" s="5" t="s">
        <v>15</v>
      </c>
      <c r="E20" s="4"/>
      <c r="F20" s="8"/>
      <c r="I20" s="4">
        <v>13</v>
      </c>
      <c r="J20" s="4" t="s">
        <v>45</v>
      </c>
      <c r="K20" s="5" t="s">
        <v>15</v>
      </c>
      <c r="L20" s="5" t="s">
        <v>15</v>
      </c>
      <c r="M20" s="4"/>
      <c r="N20" s="8"/>
    </row>
    <row r="21" spans="1:14" x14ac:dyDescent="0.3">
      <c r="A21" s="4">
        <v>14</v>
      </c>
      <c r="B21" s="4" t="s">
        <v>45</v>
      </c>
      <c r="C21" s="4" t="s">
        <v>15</v>
      </c>
      <c r="D21" s="5" t="s">
        <v>15</v>
      </c>
      <c r="E21" s="4"/>
      <c r="F21" s="8"/>
      <c r="I21" s="4">
        <v>14</v>
      </c>
      <c r="J21" s="4" t="s">
        <v>45</v>
      </c>
      <c r="K21" s="5" t="s">
        <v>15</v>
      </c>
      <c r="L21" s="5" t="s">
        <v>15</v>
      </c>
      <c r="M21" s="4"/>
      <c r="N21" s="8"/>
    </row>
    <row r="22" spans="1:14" x14ac:dyDescent="0.3">
      <c r="A22" s="4">
        <v>15</v>
      </c>
      <c r="B22" s="4" t="s">
        <v>45</v>
      </c>
      <c r="C22" s="4" t="s">
        <v>15</v>
      </c>
      <c r="D22" s="5" t="s">
        <v>15</v>
      </c>
      <c r="E22" s="4"/>
      <c r="F22" s="8"/>
      <c r="I22" s="4">
        <v>15</v>
      </c>
      <c r="J22" s="4" t="s">
        <v>45</v>
      </c>
      <c r="K22" s="5" t="s">
        <v>15</v>
      </c>
      <c r="L22" s="5" t="s">
        <v>15</v>
      </c>
      <c r="M22" s="4"/>
      <c r="N22" s="8"/>
    </row>
    <row r="23" spans="1:14" x14ac:dyDescent="0.3">
      <c r="A23" s="4">
        <v>16</v>
      </c>
      <c r="B23" s="4" t="s">
        <v>45</v>
      </c>
      <c r="C23" s="4" t="s">
        <v>15</v>
      </c>
      <c r="D23" s="5" t="s">
        <v>15</v>
      </c>
      <c r="E23" s="4"/>
      <c r="F23" s="8"/>
      <c r="I23" s="4">
        <v>16</v>
      </c>
      <c r="J23" s="4" t="s">
        <v>45</v>
      </c>
      <c r="K23" s="5" t="s">
        <v>15</v>
      </c>
      <c r="L23" s="5" t="s">
        <v>15</v>
      </c>
      <c r="M23" s="4"/>
      <c r="N23" s="8"/>
    </row>
    <row r="24" spans="1:14" x14ac:dyDescent="0.3">
      <c r="A24" s="4">
        <v>17</v>
      </c>
      <c r="B24" s="4" t="s">
        <v>45</v>
      </c>
      <c r="C24" s="4" t="s">
        <v>15</v>
      </c>
      <c r="D24" s="5" t="s">
        <v>15</v>
      </c>
      <c r="E24" s="4"/>
      <c r="F24" s="8"/>
      <c r="I24" s="4">
        <v>17</v>
      </c>
      <c r="J24" s="4" t="s">
        <v>45</v>
      </c>
      <c r="K24" s="5" t="s">
        <v>15</v>
      </c>
      <c r="L24" s="5" t="s">
        <v>15</v>
      </c>
      <c r="M24" s="4"/>
      <c r="N24" s="8"/>
    </row>
    <row r="25" spans="1:14" x14ac:dyDescent="0.3">
      <c r="A25" s="4">
        <v>18</v>
      </c>
      <c r="B25" s="4" t="s">
        <v>45</v>
      </c>
      <c r="C25" s="4" t="s">
        <v>15</v>
      </c>
      <c r="D25" s="5" t="s">
        <v>15</v>
      </c>
      <c r="E25" s="4"/>
      <c r="F25" s="8"/>
      <c r="I25" s="4">
        <v>18</v>
      </c>
      <c r="J25" s="4" t="s">
        <v>45</v>
      </c>
      <c r="K25" s="5" t="s">
        <v>15</v>
      </c>
      <c r="L25" s="5" t="s">
        <v>15</v>
      </c>
      <c r="M25" s="4"/>
      <c r="N25" s="8"/>
    </row>
    <row r="26" spans="1:14" x14ac:dyDescent="0.3">
      <c r="A26" s="4">
        <v>19</v>
      </c>
      <c r="B26" s="4" t="s">
        <v>45</v>
      </c>
      <c r="C26" s="4" t="s">
        <v>15</v>
      </c>
      <c r="D26" s="5" t="s">
        <v>15</v>
      </c>
      <c r="E26" s="4"/>
      <c r="F26" s="8"/>
      <c r="I26" s="4">
        <v>19</v>
      </c>
      <c r="J26" s="4" t="s">
        <v>45</v>
      </c>
      <c r="K26" s="5" t="s">
        <v>15</v>
      </c>
      <c r="L26" s="5" t="s">
        <v>15</v>
      </c>
      <c r="M26" s="4"/>
      <c r="N26" s="8"/>
    </row>
    <row r="27" spans="1:14" x14ac:dyDescent="0.3">
      <c r="A27" s="4">
        <v>20</v>
      </c>
      <c r="B27" s="4" t="s">
        <v>45</v>
      </c>
      <c r="C27" s="4" t="s">
        <v>15</v>
      </c>
      <c r="D27" s="5" t="s">
        <v>15</v>
      </c>
      <c r="E27" s="4"/>
      <c r="F27" s="8"/>
      <c r="I27" s="4">
        <v>20</v>
      </c>
      <c r="J27" s="4" t="s">
        <v>45</v>
      </c>
      <c r="K27" s="5" t="s">
        <v>15</v>
      </c>
      <c r="L27" s="5" t="s">
        <v>15</v>
      </c>
      <c r="M27" s="4"/>
      <c r="N27" s="8"/>
    </row>
    <row r="28" spans="1:14" x14ac:dyDescent="0.3">
      <c r="A28" s="4">
        <v>21</v>
      </c>
      <c r="B28" s="4" t="s">
        <v>45</v>
      </c>
      <c r="C28" s="4" t="s">
        <v>15</v>
      </c>
      <c r="D28" s="5" t="s">
        <v>15</v>
      </c>
      <c r="E28" s="4"/>
      <c r="F28" s="8"/>
      <c r="I28" s="4">
        <v>21</v>
      </c>
      <c r="J28" s="4" t="s">
        <v>45</v>
      </c>
      <c r="K28" s="5" t="s">
        <v>15</v>
      </c>
      <c r="L28" s="5" t="s">
        <v>15</v>
      </c>
      <c r="M28" s="4"/>
      <c r="N28" s="8"/>
    </row>
    <row r="29" spans="1:14" x14ac:dyDescent="0.3">
      <c r="A29" s="4">
        <v>22</v>
      </c>
      <c r="B29" s="4" t="s">
        <v>45</v>
      </c>
      <c r="C29" s="4" t="s">
        <v>15</v>
      </c>
      <c r="D29" s="5" t="s">
        <v>15</v>
      </c>
      <c r="E29" s="4"/>
      <c r="F29" s="8"/>
      <c r="I29" s="4">
        <v>22</v>
      </c>
      <c r="J29" s="4" t="s">
        <v>45</v>
      </c>
      <c r="K29" s="5" t="s">
        <v>15</v>
      </c>
      <c r="L29" s="5" t="s">
        <v>15</v>
      </c>
      <c r="M29" s="4"/>
      <c r="N29" s="8"/>
    </row>
    <row r="30" spans="1:14" x14ac:dyDescent="0.3">
      <c r="A30" s="4">
        <v>23</v>
      </c>
      <c r="B30" s="4" t="s">
        <v>45</v>
      </c>
      <c r="C30" s="4" t="s">
        <v>15</v>
      </c>
      <c r="D30" s="5" t="s">
        <v>15</v>
      </c>
      <c r="E30" s="4"/>
      <c r="F30" s="8"/>
      <c r="I30" s="4">
        <v>23</v>
      </c>
      <c r="J30" s="4" t="s">
        <v>45</v>
      </c>
      <c r="K30" s="5" t="s">
        <v>15</v>
      </c>
      <c r="L30" s="5" t="s">
        <v>15</v>
      </c>
      <c r="M30" s="4"/>
      <c r="N30" s="8"/>
    </row>
    <row r="31" spans="1:14" x14ac:dyDescent="0.3">
      <c r="A31" s="4">
        <v>24</v>
      </c>
      <c r="B31" s="4" t="s">
        <v>45</v>
      </c>
      <c r="C31" s="4" t="s">
        <v>15</v>
      </c>
      <c r="D31" s="5" t="s">
        <v>15</v>
      </c>
      <c r="E31" s="4"/>
      <c r="F31" s="8"/>
      <c r="I31" s="4">
        <v>24</v>
      </c>
      <c r="J31" s="4" t="s">
        <v>45</v>
      </c>
      <c r="K31" s="5" t="s">
        <v>15</v>
      </c>
      <c r="L31" s="5" t="s">
        <v>15</v>
      </c>
      <c r="M31" s="4"/>
      <c r="N31" s="8"/>
    </row>
    <row r="32" spans="1:14" x14ac:dyDescent="0.3">
      <c r="A32" s="4">
        <v>25</v>
      </c>
      <c r="B32" s="4" t="s">
        <v>45</v>
      </c>
      <c r="C32" s="4" t="s">
        <v>15</v>
      </c>
      <c r="D32" s="5" t="s">
        <v>15</v>
      </c>
      <c r="E32" s="4"/>
      <c r="F32" s="8"/>
      <c r="I32" s="4">
        <v>25</v>
      </c>
      <c r="J32" s="4" t="s">
        <v>45</v>
      </c>
      <c r="K32" s="5" t="s">
        <v>15</v>
      </c>
      <c r="L32" s="5" t="s">
        <v>15</v>
      </c>
      <c r="M32" s="4"/>
      <c r="N32" s="8"/>
    </row>
    <row r="33" spans="1:14" x14ac:dyDescent="0.3">
      <c r="A33" s="4">
        <v>26</v>
      </c>
      <c r="B33" s="4" t="s">
        <v>45</v>
      </c>
      <c r="C33" s="4" t="s">
        <v>15</v>
      </c>
      <c r="D33" s="5" t="s">
        <v>15</v>
      </c>
      <c r="E33" s="4"/>
      <c r="F33" s="8"/>
      <c r="I33" s="4">
        <v>26</v>
      </c>
      <c r="J33" s="4" t="s">
        <v>45</v>
      </c>
      <c r="K33" s="5" t="s">
        <v>15</v>
      </c>
      <c r="L33" s="5" t="s">
        <v>15</v>
      </c>
      <c r="M33" s="4"/>
      <c r="N33" s="8"/>
    </row>
    <row r="34" spans="1:14" x14ac:dyDescent="0.3">
      <c r="A34" s="4">
        <v>27</v>
      </c>
      <c r="B34" s="4" t="s">
        <v>45</v>
      </c>
      <c r="C34" s="4" t="s">
        <v>15</v>
      </c>
      <c r="D34" s="5" t="s">
        <v>15</v>
      </c>
      <c r="E34" s="4"/>
      <c r="F34" s="8"/>
      <c r="I34" s="4">
        <v>27</v>
      </c>
      <c r="J34" s="4" t="s">
        <v>45</v>
      </c>
      <c r="K34" s="5" t="s">
        <v>15</v>
      </c>
      <c r="L34" s="5" t="s">
        <v>15</v>
      </c>
      <c r="M34" s="4"/>
      <c r="N34" s="8"/>
    </row>
    <row r="35" spans="1:14" x14ac:dyDescent="0.3">
      <c r="A35" s="4">
        <v>28</v>
      </c>
      <c r="B35" s="4" t="s">
        <v>45</v>
      </c>
      <c r="C35" s="4" t="s">
        <v>15</v>
      </c>
      <c r="D35" s="5" t="s">
        <v>15</v>
      </c>
      <c r="E35" s="4"/>
      <c r="F35" s="8"/>
      <c r="I35" s="4">
        <v>28</v>
      </c>
      <c r="J35" s="4" t="s">
        <v>45</v>
      </c>
      <c r="K35" s="5" t="s">
        <v>15</v>
      </c>
      <c r="L35" s="5" t="s">
        <v>15</v>
      </c>
      <c r="M35" s="4"/>
      <c r="N35" s="8"/>
    </row>
    <row r="36" spans="1:14" x14ac:dyDescent="0.3">
      <c r="A36" s="4">
        <v>29</v>
      </c>
      <c r="B36" s="4" t="s">
        <v>45</v>
      </c>
      <c r="C36" s="4" t="s">
        <v>15</v>
      </c>
      <c r="D36" s="5" t="s">
        <v>15</v>
      </c>
      <c r="E36" s="4"/>
      <c r="F36" s="8"/>
      <c r="I36" s="4">
        <v>29</v>
      </c>
      <c r="J36" s="4" t="s">
        <v>45</v>
      </c>
      <c r="K36" s="5" t="s">
        <v>15</v>
      </c>
      <c r="L36" s="5" t="s">
        <v>15</v>
      </c>
      <c r="M36" s="4"/>
      <c r="N36" s="8"/>
    </row>
    <row r="37" spans="1:14" x14ac:dyDescent="0.3">
      <c r="A37" s="4">
        <v>30</v>
      </c>
      <c r="B37" s="4" t="s">
        <v>45</v>
      </c>
      <c r="C37" s="4" t="s">
        <v>15</v>
      </c>
      <c r="D37" s="5" t="s">
        <v>15</v>
      </c>
      <c r="E37" s="4"/>
      <c r="F37" s="8"/>
      <c r="I37" s="4">
        <v>30</v>
      </c>
      <c r="J37" s="4" t="s">
        <v>45</v>
      </c>
      <c r="K37" s="5" t="s">
        <v>15</v>
      </c>
      <c r="L37" s="5" t="s">
        <v>15</v>
      </c>
      <c r="M37" s="4"/>
      <c r="N37" s="8"/>
    </row>
    <row r="38" spans="1:14" x14ac:dyDescent="0.3">
      <c r="A38" s="4">
        <v>31</v>
      </c>
      <c r="B38" s="4" t="s">
        <v>45</v>
      </c>
      <c r="C38" s="4" t="s">
        <v>15</v>
      </c>
      <c r="D38" s="5" t="s">
        <v>15</v>
      </c>
      <c r="E38" s="4"/>
      <c r="F38" s="8"/>
      <c r="I38" s="4">
        <v>31</v>
      </c>
      <c r="J38" s="4" t="s">
        <v>45</v>
      </c>
      <c r="K38" s="5" t="s">
        <v>15</v>
      </c>
      <c r="L38" s="5" t="s">
        <v>15</v>
      </c>
      <c r="M38" s="4"/>
      <c r="N38" s="8"/>
    </row>
    <row r="39" spans="1:14" x14ac:dyDescent="0.3">
      <c r="A39" s="4">
        <v>32</v>
      </c>
      <c r="B39" s="4" t="s">
        <v>45</v>
      </c>
      <c r="C39" s="4" t="s">
        <v>15</v>
      </c>
      <c r="D39" s="5" t="s">
        <v>15</v>
      </c>
      <c r="E39" s="4"/>
      <c r="F39" s="8"/>
      <c r="I39" s="4">
        <v>32</v>
      </c>
      <c r="J39" s="4" t="s">
        <v>45</v>
      </c>
      <c r="K39" s="5" t="s">
        <v>15</v>
      </c>
      <c r="L39" s="5" t="s">
        <v>15</v>
      </c>
      <c r="M39" s="4"/>
      <c r="N39" s="8"/>
    </row>
    <row r="40" spans="1:14" x14ac:dyDescent="0.3">
      <c r="A40" s="4">
        <v>33</v>
      </c>
      <c r="B40" s="4" t="s">
        <v>45</v>
      </c>
      <c r="C40" s="4" t="s">
        <v>15</v>
      </c>
      <c r="D40" s="5" t="s">
        <v>15</v>
      </c>
      <c r="E40" s="4"/>
      <c r="F40" s="8"/>
      <c r="I40" s="4">
        <v>33</v>
      </c>
      <c r="J40" s="4" t="s">
        <v>45</v>
      </c>
      <c r="K40" s="5" t="s">
        <v>15</v>
      </c>
      <c r="L40" s="5" t="s">
        <v>15</v>
      </c>
      <c r="M40" s="4"/>
      <c r="N40" s="8"/>
    </row>
    <row r="41" spans="1:14" x14ac:dyDescent="0.3">
      <c r="A41" s="4">
        <v>34</v>
      </c>
      <c r="B41" s="4" t="s">
        <v>45</v>
      </c>
      <c r="C41" s="4" t="s">
        <v>15</v>
      </c>
      <c r="D41" s="5" t="s">
        <v>15</v>
      </c>
      <c r="E41" s="4"/>
      <c r="F41" s="8"/>
      <c r="I41" s="4">
        <v>34</v>
      </c>
      <c r="J41" s="4" t="s">
        <v>45</v>
      </c>
      <c r="K41" s="5" t="s">
        <v>15</v>
      </c>
      <c r="L41" s="5" t="s">
        <v>15</v>
      </c>
      <c r="M41" s="4"/>
      <c r="N41" s="8"/>
    </row>
    <row r="42" spans="1:14" x14ac:dyDescent="0.3">
      <c r="A42" s="4">
        <v>35</v>
      </c>
      <c r="B42" s="4" t="s">
        <v>45</v>
      </c>
      <c r="C42" s="4" t="s">
        <v>15</v>
      </c>
      <c r="D42" s="5" t="s">
        <v>15</v>
      </c>
      <c r="E42" s="4"/>
      <c r="F42" s="8"/>
      <c r="I42" s="4">
        <v>35</v>
      </c>
      <c r="J42" s="4" t="s">
        <v>45</v>
      </c>
      <c r="K42" s="5" t="s">
        <v>15</v>
      </c>
      <c r="L42" s="5" t="s">
        <v>15</v>
      </c>
      <c r="M42" s="4"/>
      <c r="N42" s="8"/>
    </row>
    <row r="43" spans="1:14" x14ac:dyDescent="0.3">
      <c r="A43" s="4">
        <v>36</v>
      </c>
      <c r="B43" s="4" t="s">
        <v>45</v>
      </c>
      <c r="C43" s="4" t="s">
        <v>15</v>
      </c>
      <c r="D43" s="5" t="s">
        <v>15</v>
      </c>
      <c r="E43" s="4"/>
      <c r="F43" s="8"/>
      <c r="I43" s="4">
        <v>36</v>
      </c>
      <c r="J43" s="4" t="s">
        <v>45</v>
      </c>
      <c r="K43" s="5" t="s">
        <v>15</v>
      </c>
      <c r="L43" s="5" t="s">
        <v>15</v>
      </c>
      <c r="M43" s="4"/>
      <c r="N43" s="8"/>
    </row>
    <row r="44" spans="1:14" x14ac:dyDescent="0.3">
      <c r="A44" s="4">
        <v>37</v>
      </c>
      <c r="B44" s="4" t="s">
        <v>45</v>
      </c>
      <c r="C44" s="4" t="s">
        <v>15</v>
      </c>
      <c r="D44" s="5" t="s">
        <v>15</v>
      </c>
      <c r="E44" s="4"/>
      <c r="F44" s="8"/>
      <c r="I44" s="4">
        <v>37</v>
      </c>
      <c r="J44" s="4" t="s">
        <v>45</v>
      </c>
      <c r="K44" s="5" t="s">
        <v>15</v>
      </c>
      <c r="L44" s="5" t="s">
        <v>15</v>
      </c>
      <c r="M44" s="4"/>
      <c r="N44" s="8"/>
    </row>
    <row r="45" spans="1:14" x14ac:dyDescent="0.3">
      <c r="A45" s="4">
        <v>38</v>
      </c>
      <c r="B45" s="4" t="s">
        <v>45</v>
      </c>
      <c r="C45" s="4" t="s">
        <v>15</v>
      </c>
      <c r="D45" s="5" t="s">
        <v>15</v>
      </c>
      <c r="E45" s="4"/>
      <c r="F45" s="8"/>
      <c r="I45" s="4">
        <v>38</v>
      </c>
      <c r="J45" s="4" t="s">
        <v>45</v>
      </c>
      <c r="K45" s="5" t="s">
        <v>15</v>
      </c>
      <c r="L45" s="5" t="s">
        <v>15</v>
      </c>
      <c r="M45" s="4"/>
      <c r="N45" s="8"/>
    </row>
    <row r="46" spans="1:14" x14ac:dyDescent="0.3">
      <c r="A46" s="4">
        <v>39</v>
      </c>
      <c r="B46" s="4" t="s">
        <v>45</v>
      </c>
      <c r="C46" s="4" t="s">
        <v>15</v>
      </c>
      <c r="D46" s="5" t="s">
        <v>15</v>
      </c>
      <c r="E46" s="4"/>
      <c r="F46" s="8"/>
      <c r="I46" s="4">
        <v>39</v>
      </c>
      <c r="J46" s="4" t="s">
        <v>45</v>
      </c>
      <c r="K46" s="5" t="s">
        <v>15</v>
      </c>
      <c r="L46" s="5" t="s">
        <v>15</v>
      </c>
      <c r="M46" s="4"/>
      <c r="N46" s="8"/>
    </row>
    <row r="47" spans="1:14" x14ac:dyDescent="0.3">
      <c r="A47" s="4">
        <v>40</v>
      </c>
      <c r="B47" s="4" t="s">
        <v>45</v>
      </c>
      <c r="C47" s="4" t="s">
        <v>15</v>
      </c>
      <c r="D47" s="5" t="s">
        <v>15</v>
      </c>
      <c r="E47" s="4"/>
      <c r="F47" s="8"/>
      <c r="I47" s="4">
        <v>40</v>
      </c>
      <c r="J47" s="4" t="s">
        <v>45</v>
      </c>
      <c r="K47" s="5" t="s">
        <v>15</v>
      </c>
      <c r="L47" s="5" t="s">
        <v>15</v>
      </c>
      <c r="M47" s="4"/>
      <c r="N47" s="8"/>
    </row>
    <row r="48" spans="1:14" x14ac:dyDescent="0.3">
      <c r="A48" s="4">
        <v>41</v>
      </c>
      <c r="B48" s="4" t="s">
        <v>45</v>
      </c>
      <c r="C48" s="4" t="s">
        <v>15</v>
      </c>
      <c r="D48" s="5" t="s">
        <v>15</v>
      </c>
      <c r="E48" s="4"/>
      <c r="F48" s="8"/>
      <c r="I48" s="4">
        <v>41</v>
      </c>
      <c r="J48" s="4" t="s">
        <v>45</v>
      </c>
      <c r="K48" s="5" t="s">
        <v>15</v>
      </c>
      <c r="L48" s="5" t="s">
        <v>15</v>
      </c>
      <c r="M48" s="4"/>
      <c r="N48" s="8"/>
    </row>
    <row r="49" spans="1:14" x14ac:dyDescent="0.3">
      <c r="A49" s="4">
        <v>42</v>
      </c>
      <c r="B49" s="4" t="s">
        <v>45</v>
      </c>
      <c r="C49" s="4" t="s">
        <v>15</v>
      </c>
      <c r="D49" s="5" t="s">
        <v>15</v>
      </c>
      <c r="E49" s="4"/>
      <c r="F49" s="8"/>
      <c r="I49" s="4">
        <v>42</v>
      </c>
      <c r="J49" s="4" t="s">
        <v>45</v>
      </c>
      <c r="K49" s="5" t="s">
        <v>15</v>
      </c>
      <c r="L49" s="5" t="s">
        <v>15</v>
      </c>
      <c r="M49" s="4"/>
      <c r="N49" s="8"/>
    </row>
    <row r="50" spans="1:14" x14ac:dyDescent="0.3">
      <c r="A50" s="4">
        <v>43</v>
      </c>
      <c r="B50" s="4" t="s">
        <v>45</v>
      </c>
      <c r="C50" s="4" t="s">
        <v>15</v>
      </c>
      <c r="D50" s="5" t="s">
        <v>15</v>
      </c>
      <c r="E50" s="4"/>
      <c r="F50" s="8"/>
      <c r="I50" s="4">
        <v>43</v>
      </c>
      <c r="J50" s="4" t="s">
        <v>45</v>
      </c>
      <c r="K50" s="5" t="s">
        <v>15</v>
      </c>
      <c r="L50" s="5" t="s">
        <v>15</v>
      </c>
      <c r="M50" s="4"/>
      <c r="N50" s="8"/>
    </row>
    <row r="51" spans="1:14" x14ac:dyDescent="0.3">
      <c r="A51" s="4">
        <v>44</v>
      </c>
      <c r="B51" s="4" t="s">
        <v>45</v>
      </c>
      <c r="C51" s="4" t="s">
        <v>15</v>
      </c>
      <c r="D51" s="5" t="s">
        <v>15</v>
      </c>
      <c r="E51" s="4"/>
      <c r="F51" s="8"/>
      <c r="I51" s="4">
        <v>44</v>
      </c>
      <c r="J51" s="4" t="s">
        <v>45</v>
      </c>
      <c r="K51" s="5" t="s">
        <v>15</v>
      </c>
      <c r="L51" s="5" t="s">
        <v>15</v>
      </c>
      <c r="M51" s="4"/>
      <c r="N51" s="8"/>
    </row>
    <row r="52" spans="1:14" x14ac:dyDescent="0.3">
      <c r="A52" s="4">
        <v>45</v>
      </c>
      <c r="B52" s="4" t="s">
        <v>45</v>
      </c>
      <c r="C52" s="4" t="s">
        <v>15</v>
      </c>
      <c r="D52" s="5" t="s">
        <v>15</v>
      </c>
      <c r="E52" s="4"/>
      <c r="F52" s="8"/>
      <c r="I52" s="4">
        <v>45</v>
      </c>
      <c r="J52" s="4" t="s">
        <v>45</v>
      </c>
      <c r="K52" s="5" t="s">
        <v>15</v>
      </c>
      <c r="L52" s="5" t="s">
        <v>15</v>
      </c>
      <c r="M52" s="4"/>
      <c r="N52" s="8"/>
    </row>
    <row r="53" spans="1:14" x14ac:dyDescent="0.3">
      <c r="A53" s="4">
        <v>46</v>
      </c>
      <c r="B53" s="4" t="s">
        <v>45</v>
      </c>
      <c r="C53" s="4" t="s">
        <v>15</v>
      </c>
      <c r="D53" s="5" t="s">
        <v>15</v>
      </c>
      <c r="E53" s="4"/>
      <c r="F53" s="8"/>
      <c r="I53" s="4">
        <v>46</v>
      </c>
      <c r="J53" s="4" t="s">
        <v>45</v>
      </c>
      <c r="K53" s="5" t="s">
        <v>15</v>
      </c>
      <c r="L53" s="5" t="s">
        <v>15</v>
      </c>
      <c r="M53" s="4"/>
      <c r="N53" s="8"/>
    </row>
    <row r="54" spans="1:14" x14ac:dyDescent="0.3">
      <c r="A54" s="4">
        <v>47</v>
      </c>
      <c r="B54" s="4" t="s">
        <v>45</v>
      </c>
      <c r="C54" s="4" t="s">
        <v>15</v>
      </c>
      <c r="D54" s="5" t="s">
        <v>15</v>
      </c>
      <c r="E54" s="4"/>
      <c r="F54" s="8"/>
      <c r="I54" s="4">
        <v>47</v>
      </c>
      <c r="J54" s="4" t="s">
        <v>45</v>
      </c>
      <c r="K54" s="5" t="s">
        <v>15</v>
      </c>
      <c r="L54" s="5" t="s">
        <v>15</v>
      </c>
      <c r="M54" s="4"/>
      <c r="N54" s="8"/>
    </row>
    <row r="55" spans="1:14" x14ac:dyDescent="0.3">
      <c r="A55" s="4">
        <v>48</v>
      </c>
      <c r="B55" s="4" t="s">
        <v>45</v>
      </c>
      <c r="C55" s="4" t="s">
        <v>15</v>
      </c>
      <c r="D55" s="5" t="s">
        <v>15</v>
      </c>
      <c r="E55" s="4"/>
      <c r="F55" s="8"/>
      <c r="I55" s="4">
        <v>48</v>
      </c>
      <c r="J55" s="4" t="s">
        <v>45</v>
      </c>
      <c r="K55" s="5" t="s">
        <v>15</v>
      </c>
      <c r="L55" s="5" t="s">
        <v>15</v>
      </c>
      <c r="M55" s="4"/>
      <c r="N55" s="8"/>
    </row>
    <row r="56" spans="1:14" x14ac:dyDescent="0.3">
      <c r="A56" s="4">
        <v>49</v>
      </c>
      <c r="B56" s="4" t="s">
        <v>45</v>
      </c>
      <c r="C56" s="4" t="s">
        <v>15</v>
      </c>
      <c r="D56" s="5" t="s">
        <v>15</v>
      </c>
      <c r="E56" s="4"/>
      <c r="F56" s="8"/>
      <c r="I56" s="4">
        <v>49</v>
      </c>
      <c r="J56" s="4" t="s">
        <v>45</v>
      </c>
      <c r="K56" s="5" t="s">
        <v>15</v>
      </c>
      <c r="L56" s="5" t="s">
        <v>15</v>
      </c>
      <c r="M56" s="4"/>
      <c r="N56" s="8"/>
    </row>
    <row r="57" spans="1:14" x14ac:dyDescent="0.3">
      <c r="A57" s="4">
        <v>50</v>
      </c>
      <c r="B57" s="4" t="s">
        <v>45</v>
      </c>
      <c r="C57" s="4" t="s">
        <v>15</v>
      </c>
      <c r="D57" s="5" t="s">
        <v>15</v>
      </c>
      <c r="E57" s="4"/>
      <c r="F57" s="8"/>
      <c r="I57" s="4">
        <v>50</v>
      </c>
      <c r="J57" s="4" t="s">
        <v>45</v>
      </c>
      <c r="K57" s="5" t="s">
        <v>15</v>
      </c>
      <c r="L57" s="5" t="s">
        <v>15</v>
      </c>
      <c r="M57" s="4"/>
      <c r="N57" s="8"/>
    </row>
    <row r="58" spans="1:14" x14ac:dyDescent="0.3">
      <c r="A58" s="4">
        <v>51</v>
      </c>
      <c r="B58" s="4" t="s">
        <v>45</v>
      </c>
      <c r="C58" s="4" t="s">
        <v>15</v>
      </c>
      <c r="D58" s="5" t="s">
        <v>15</v>
      </c>
      <c r="E58" s="4"/>
      <c r="F58" s="8"/>
      <c r="I58" s="4">
        <v>51</v>
      </c>
      <c r="J58" s="4" t="s">
        <v>45</v>
      </c>
      <c r="K58" s="5" t="s">
        <v>15</v>
      </c>
      <c r="L58" s="5" t="s">
        <v>15</v>
      </c>
      <c r="M58" s="4"/>
      <c r="N58" s="8"/>
    </row>
    <row r="59" spans="1:14" x14ac:dyDescent="0.3">
      <c r="A59" s="4">
        <v>52</v>
      </c>
      <c r="B59" s="4" t="s">
        <v>45</v>
      </c>
      <c r="C59" s="4" t="s">
        <v>15</v>
      </c>
      <c r="D59" s="5" t="s">
        <v>15</v>
      </c>
      <c r="E59" s="4"/>
      <c r="F59" s="8"/>
      <c r="I59" s="4">
        <v>52</v>
      </c>
      <c r="J59" s="4" t="s">
        <v>45</v>
      </c>
      <c r="K59" s="5" t="s">
        <v>15</v>
      </c>
      <c r="L59" s="5" t="s">
        <v>15</v>
      </c>
      <c r="M59" s="4"/>
      <c r="N59" s="8"/>
    </row>
    <row r="60" spans="1:14" x14ac:dyDescent="0.3">
      <c r="A60" s="4">
        <v>53</v>
      </c>
      <c r="B60" s="4" t="s">
        <v>45</v>
      </c>
      <c r="C60" s="4" t="s">
        <v>15</v>
      </c>
      <c r="D60" s="5" t="s">
        <v>15</v>
      </c>
      <c r="E60" s="4"/>
      <c r="F60" s="8"/>
      <c r="I60" s="4">
        <v>53</v>
      </c>
      <c r="J60" s="4" t="s">
        <v>45</v>
      </c>
      <c r="K60" s="5" t="s">
        <v>15</v>
      </c>
      <c r="L60" s="5" t="s">
        <v>15</v>
      </c>
      <c r="M60" s="4"/>
      <c r="N60" s="8"/>
    </row>
    <row r="61" spans="1:14" x14ac:dyDescent="0.3">
      <c r="A61" s="4">
        <v>54</v>
      </c>
      <c r="B61" s="4" t="s">
        <v>45</v>
      </c>
      <c r="C61" s="4" t="s">
        <v>15</v>
      </c>
      <c r="D61" s="5" t="s">
        <v>15</v>
      </c>
      <c r="E61" s="4"/>
      <c r="F61" s="8"/>
      <c r="I61" s="4">
        <v>54</v>
      </c>
      <c r="J61" s="4" t="s">
        <v>45</v>
      </c>
      <c r="K61" s="5" t="s">
        <v>15</v>
      </c>
      <c r="L61" s="5" t="s">
        <v>15</v>
      </c>
      <c r="M61" s="4"/>
      <c r="N61" s="8"/>
    </row>
    <row r="62" spans="1:14" x14ac:dyDescent="0.3">
      <c r="A62" s="4">
        <v>55</v>
      </c>
      <c r="B62" s="4" t="s">
        <v>45</v>
      </c>
      <c r="C62" s="4" t="s">
        <v>15</v>
      </c>
      <c r="D62" s="5" t="s">
        <v>15</v>
      </c>
      <c r="E62" s="4"/>
      <c r="F62" s="8"/>
      <c r="I62" s="4">
        <v>55</v>
      </c>
      <c r="J62" s="4" t="s">
        <v>45</v>
      </c>
      <c r="K62" s="5" t="s">
        <v>15</v>
      </c>
      <c r="L62" s="5" t="s">
        <v>15</v>
      </c>
      <c r="M62" s="4"/>
      <c r="N62" s="8"/>
    </row>
    <row r="63" spans="1:14" x14ac:dyDescent="0.3">
      <c r="A63" s="4">
        <v>56</v>
      </c>
      <c r="B63" s="4" t="s">
        <v>45</v>
      </c>
      <c r="C63" s="4" t="s">
        <v>15</v>
      </c>
      <c r="D63" s="5" t="s">
        <v>15</v>
      </c>
      <c r="E63" s="4"/>
      <c r="F63" s="8"/>
      <c r="I63" s="4">
        <v>56</v>
      </c>
      <c r="J63" s="4" t="s">
        <v>45</v>
      </c>
      <c r="K63" s="5" t="s">
        <v>15</v>
      </c>
      <c r="L63" s="5" t="s">
        <v>15</v>
      </c>
      <c r="M63" s="4"/>
      <c r="N63" s="8"/>
    </row>
    <row r="64" spans="1:14" x14ac:dyDescent="0.3">
      <c r="A64" s="4">
        <v>57</v>
      </c>
      <c r="B64" s="4" t="s">
        <v>45</v>
      </c>
      <c r="C64" s="4" t="s">
        <v>15</v>
      </c>
      <c r="D64" s="5" t="s">
        <v>15</v>
      </c>
      <c r="E64" s="4"/>
      <c r="F64" s="8"/>
      <c r="I64" s="4">
        <v>57</v>
      </c>
      <c r="J64" s="4" t="s">
        <v>45</v>
      </c>
      <c r="K64" s="5" t="s">
        <v>15</v>
      </c>
      <c r="L64" s="5" t="s">
        <v>15</v>
      </c>
      <c r="M64" s="4"/>
      <c r="N64" s="8"/>
    </row>
    <row r="65" spans="1:14" x14ac:dyDescent="0.3">
      <c r="A65" s="4">
        <v>58</v>
      </c>
      <c r="B65" s="4" t="s">
        <v>45</v>
      </c>
      <c r="C65" s="4" t="s">
        <v>15</v>
      </c>
      <c r="D65" s="5" t="s">
        <v>15</v>
      </c>
      <c r="E65" s="4"/>
      <c r="F65" s="8"/>
      <c r="I65" s="4">
        <v>58</v>
      </c>
      <c r="J65" s="4" t="s">
        <v>45</v>
      </c>
      <c r="K65" s="5" t="s">
        <v>15</v>
      </c>
      <c r="L65" s="5" t="s">
        <v>15</v>
      </c>
      <c r="M65" s="4"/>
      <c r="N65" s="8"/>
    </row>
    <row r="66" spans="1:14" x14ac:dyDescent="0.3">
      <c r="A66" s="4">
        <v>59</v>
      </c>
      <c r="B66" s="4" t="s">
        <v>45</v>
      </c>
      <c r="C66" s="4" t="s">
        <v>15</v>
      </c>
      <c r="D66" s="5" t="s">
        <v>15</v>
      </c>
      <c r="E66" s="4"/>
      <c r="F66" s="8"/>
      <c r="I66" s="4">
        <v>59</v>
      </c>
      <c r="J66" s="4" t="s">
        <v>45</v>
      </c>
      <c r="K66" s="5" t="s">
        <v>15</v>
      </c>
      <c r="L66" s="5" t="s">
        <v>15</v>
      </c>
      <c r="M66" s="4"/>
      <c r="N66" s="8"/>
    </row>
    <row r="67" spans="1:14" x14ac:dyDescent="0.3">
      <c r="A67" s="4">
        <v>60</v>
      </c>
      <c r="B67" s="4" t="s">
        <v>45</v>
      </c>
      <c r="C67" s="4" t="s">
        <v>15</v>
      </c>
      <c r="D67" s="5" t="s">
        <v>15</v>
      </c>
      <c r="E67" s="4"/>
      <c r="F67" s="8"/>
      <c r="I67" s="4">
        <v>60</v>
      </c>
      <c r="J67" s="4" t="s">
        <v>45</v>
      </c>
      <c r="K67" s="5" t="s">
        <v>15</v>
      </c>
      <c r="L67" s="5" t="s">
        <v>15</v>
      </c>
      <c r="M67" s="4"/>
      <c r="N67" s="8"/>
    </row>
  </sheetData>
  <mergeCells count="3">
    <mergeCell ref="A5:G6"/>
    <mergeCell ref="I5:O6"/>
    <mergeCell ref="A1:O3"/>
  </mergeCells>
  <conditionalFormatting sqref="B8:B67">
    <cfRule type="cellIs" dxfId="10" priority="10" operator="equal">
      <formula>"Makan Malam"</formula>
    </cfRule>
    <cfRule type="cellIs" dxfId="9" priority="11" operator="equal">
      <formula>"Makan Siang"</formula>
    </cfRule>
    <cfRule type="cellIs" dxfId="8" priority="12" operator="equal">
      <formula>"Sarapan"</formula>
    </cfRule>
  </conditionalFormatting>
  <conditionalFormatting sqref="J8:J67">
    <cfRule type="cellIs" dxfId="7" priority="1" operator="equal">
      <formula>"Tokopedia"</formula>
    </cfRule>
    <cfRule type="cellIs" dxfId="6" priority="2" operator="equal">
      <formula>"Bluebird"</formula>
    </cfRule>
    <cfRule type="cellIs" dxfId="5" priority="3" operator="equal">
      <formula>"Gojek"</formula>
    </cfRule>
    <cfRule type="cellIs" dxfId="4" priority="4" operator="equal">
      <formula>"Telkomsel"</formula>
    </cfRule>
    <cfRule type="cellIs" dxfId="3" priority="5" operator="equal">
      <formula>"Laundry"</formula>
    </cfRule>
    <cfRule type="cellIs" dxfId="2" priority="6" operator="equal">
      <formula>"Superindo"</formula>
    </cfRule>
    <cfRule type="cellIs" dxfId="1" priority="7" operator="equal">
      <formula>"Indomaret"</formula>
    </cfRule>
    <cfRule type="cellIs" dxfId="0" priority="8" operator="equal">
      <formula>"Alfamart"</formula>
    </cfRule>
  </conditionalFormatting>
  <dataValidations count="5">
    <dataValidation type="list" allowBlank="1" showInputMessage="1" showErrorMessage="1" sqref="C8:C67 K8:K67" xr:uid="{D6892B7F-6B8A-424B-86D9-CAB2B5CE255E}">
      <formula1>INDIRECT(B8)</formula1>
    </dataValidation>
    <dataValidation type="list" showInputMessage="1" showErrorMessage="1" sqref="B9:B67" xr:uid="{23FF75E6-B7C5-4B5B-B604-929D9BBA63E6}">
      <formula1>"Sarapan, Makan_Siang, Makan_Malam, Makan_Siang_Malam, N_A,"</formula1>
    </dataValidation>
    <dataValidation type="list" showInputMessage="1" showErrorMessage="1" sqref="B8" xr:uid="{E48B5C27-2531-4AE2-843D-72FDEAE13C01}">
      <formula1>"Sarapan, Makan_Siang, Makan_Malam, N_A,"</formula1>
    </dataValidation>
    <dataValidation type="list" allowBlank="1" showInputMessage="1" showErrorMessage="1" sqref="J8:J67" xr:uid="{0994EDFB-3709-491A-B1E1-6295580A81AB}">
      <formula1>"Alfamart, Indomaret, Superindo, Laundry, Telkomsel, Gojek, Bluebird, Tokopedia, N_A,"</formula1>
    </dataValidation>
    <dataValidation type="list" allowBlank="1" showInputMessage="1" showErrorMessage="1" sqref="D8:D67 L8:L67" xr:uid="{DC6B6861-12DD-4AAE-A605-8A63E45EA11A}">
      <formula1>"Tunai, Digital, N/A,"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2260-2332-4F84-994D-626F76A56654}">
  <dimension ref="A1:G14"/>
  <sheetViews>
    <sheetView workbookViewId="0">
      <selection activeCell="G8" sqref="G8"/>
    </sheetView>
  </sheetViews>
  <sheetFormatPr defaultRowHeight="14.4" x14ac:dyDescent="0.3"/>
  <cols>
    <col min="1" max="1" width="5.6640625" customWidth="1"/>
    <col min="2" max="3" width="16.77734375" customWidth="1"/>
    <col min="4" max="5" width="12.77734375" customWidth="1"/>
    <col min="6" max="7" width="15.5546875" customWidth="1"/>
  </cols>
  <sheetData>
    <row r="1" spans="1:7" ht="14.4" customHeight="1" x14ac:dyDescent="0.3">
      <c r="A1" s="14" t="s">
        <v>43</v>
      </c>
      <c r="B1" s="14"/>
      <c r="C1" s="14"/>
      <c r="D1" s="14"/>
      <c r="E1" s="14"/>
      <c r="F1" s="14"/>
      <c r="G1" s="14"/>
    </row>
    <row r="2" spans="1:7" ht="14.4" customHeight="1" x14ac:dyDescent="0.3">
      <c r="A2" s="14"/>
      <c r="B2" s="14"/>
      <c r="C2" s="14"/>
      <c r="D2" s="14"/>
      <c r="E2" s="14"/>
      <c r="F2" s="14"/>
      <c r="G2" s="14"/>
    </row>
    <row r="3" spans="1:7" ht="14.4" customHeight="1" x14ac:dyDescent="0.3">
      <c r="A3" s="14"/>
      <c r="B3" s="14"/>
      <c r="C3" s="14"/>
      <c r="D3" s="14"/>
      <c r="E3" s="14"/>
      <c r="F3" s="14"/>
      <c r="G3" s="14"/>
    </row>
    <row r="4" spans="1:7" x14ac:dyDescent="0.3">
      <c r="A4" s="4" t="s">
        <v>3</v>
      </c>
      <c r="B4" s="4" t="s">
        <v>4</v>
      </c>
      <c r="C4" s="4" t="s">
        <v>5</v>
      </c>
      <c r="D4" s="4" t="s">
        <v>46</v>
      </c>
      <c r="E4" s="4" t="s">
        <v>6</v>
      </c>
      <c r="F4" s="4" t="s">
        <v>7</v>
      </c>
      <c r="G4" s="4" t="s">
        <v>8</v>
      </c>
    </row>
    <row r="5" spans="1:7" x14ac:dyDescent="0.3">
      <c r="A5" s="4">
        <v>1</v>
      </c>
      <c r="B5" s="4"/>
      <c r="C5" s="4"/>
      <c r="D5" s="5" t="s">
        <v>15</v>
      </c>
      <c r="E5" s="7"/>
      <c r="F5" s="9"/>
      <c r="G5" s="9">
        <f>SUM(F5:F14)</f>
        <v>0</v>
      </c>
    </row>
    <row r="6" spans="1:7" x14ac:dyDescent="0.3">
      <c r="A6" s="4">
        <v>2</v>
      </c>
      <c r="B6" s="4"/>
      <c r="C6" s="4"/>
      <c r="D6" s="5" t="s">
        <v>15</v>
      </c>
      <c r="E6" s="7"/>
      <c r="F6" s="9"/>
      <c r="G6" s="6"/>
    </row>
    <row r="7" spans="1:7" x14ac:dyDescent="0.3">
      <c r="A7" s="4">
        <v>3</v>
      </c>
      <c r="B7" s="4"/>
      <c r="C7" s="4"/>
      <c r="D7" s="5" t="s">
        <v>15</v>
      </c>
      <c r="E7" s="7"/>
      <c r="F7" s="9"/>
      <c r="G7" s="6"/>
    </row>
    <row r="8" spans="1:7" x14ac:dyDescent="0.3">
      <c r="A8" s="4">
        <v>4</v>
      </c>
      <c r="B8" s="4"/>
      <c r="C8" s="4"/>
      <c r="D8" s="5" t="s">
        <v>15</v>
      </c>
      <c r="E8" s="7"/>
      <c r="F8" s="9"/>
      <c r="G8" s="6"/>
    </row>
    <row r="9" spans="1:7" x14ac:dyDescent="0.3">
      <c r="A9" s="4">
        <v>5</v>
      </c>
      <c r="B9" s="4"/>
      <c r="C9" s="4"/>
      <c r="D9" s="5" t="s">
        <v>15</v>
      </c>
      <c r="E9" s="7"/>
      <c r="F9" s="9"/>
      <c r="G9" s="6"/>
    </row>
    <row r="10" spans="1:7" x14ac:dyDescent="0.3">
      <c r="A10" s="4">
        <v>6</v>
      </c>
      <c r="B10" s="4"/>
      <c r="C10" s="4"/>
      <c r="D10" s="5" t="s">
        <v>15</v>
      </c>
      <c r="E10" s="7"/>
      <c r="F10" s="9"/>
      <c r="G10" s="6"/>
    </row>
    <row r="11" spans="1:7" x14ac:dyDescent="0.3">
      <c r="A11" s="4">
        <v>7</v>
      </c>
      <c r="B11" s="4"/>
      <c r="C11" s="4"/>
      <c r="D11" s="5" t="s">
        <v>15</v>
      </c>
      <c r="E11" s="7"/>
      <c r="F11" s="9"/>
      <c r="G11" s="6"/>
    </row>
    <row r="12" spans="1:7" x14ac:dyDescent="0.3">
      <c r="A12" s="4">
        <v>8</v>
      </c>
      <c r="B12" s="4"/>
      <c r="C12" s="4"/>
      <c r="D12" s="5" t="s">
        <v>15</v>
      </c>
      <c r="E12" s="7"/>
      <c r="F12" s="9"/>
      <c r="G12" s="6"/>
    </row>
    <row r="13" spans="1:7" x14ac:dyDescent="0.3">
      <c r="A13" s="4">
        <v>9</v>
      </c>
      <c r="B13" s="4"/>
      <c r="C13" s="4"/>
      <c r="D13" s="5" t="s">
        <v>15</v>
      </c>
      <c r="E13" s="7"/>
      <c r="F13" s="9"/>
      <c r="G13" s="6"/>
    </row>
    <row r="14" spans="1:7" x14ac:dyDescent="0.3">
      <c r="A14" s="4">
        <v>10</v>
      </c>
      <c r="B14" s="4"/>
      <c r="C14" s="4"/>
      <c r="D14" s="5" t="s">
        <v>15</v>
      </c>
      <c r="E14" s="7"/>
      <c r="F14" s="9"/>
      <c r="G14" s="6"/>
    </row>
  </sheetData>
  <mergeCells count="1">
    <mergeCell ref="A1:G3"/>
  </mergeCells>
  <dataValidations count="1">
    <dataValidation type="list" allowBlank="1" showInputMessage="1" showErrorMessage="1" sqref="D5:D14" xr:uid="{A9F03A0E-813D-47B2-BC3A-69660ED64775}">
      <formula1>"Tunai, Digital, N/A,"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DC01-CDBE-496D-9D66-144D02CA13AC}">
  <dimension ref="A1:M41"/>
  <sheetViews>
    <sheetView workbookViewId="0">
      <selection activeCell="F20" sqref="F20"/>
    </sheetView>
  </sheetViews>
  <sheetFormatPr defaultColWidth="17.77734375" defaultRowHeight="14.4" x14ac:dyDescent="0.3"/>
  <cols>
    <col min="5" max="5" width="1.77734375" customWidth="1"/>
  </cols>
  <sheetData>
    <row r="1" spans="1:13" x14ac:dyDescent="0.3">
      <c r="A1" s="2" t="s">
        <v>12</v>
      </c>
      <c r="B1" s="2" t="s">
        <v>13</v>
      </c>
      <c r="C1" s="2" t="s">
        <v>14</v>
      </c>
      <c r="D1" s="3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</row>
    <row r="2" spans="1:13" x14ac:dyDescent="0.3">
      <c r="A2" s="4" t="s">
        <v>24</v>
      </c>
      <c r="B2" s="4" t="s">
        <v>24</v>
      </c>
      <c r="C2" s="4" t="s">
        <v>24</v>
      </c>
      <c r="D2" s="4" t="s">
        <v>15</v>
      </c>
      <c r="F2" s="4" t="s">
        <v>26</v>
      </c>
      <c r="G2" s="4" t="s">
        <v>26</v>
      </c>
      <c r="H2" s="4" t="s">
        <v>40</v>
      </c>
      <c r="I2" s="4" t="s">
        <v>27</v>
      </c>
      <c r="J2" s="4" t="s">
        <v>28</v>
      </c>
      <c r="K2" s="4" t="s">
        <v>28</v>
      </c>
      <c r="L2" s="4" t="s">
        <v>29</v>
      </c>
      <c r="M2" s="4" t="s">
        <v>30</v>
      </c>
    </row>
    <row r="3" spans="1:13" x14ac:dyDescent="0.3">
      <c r="A3" s="4" t="s">
        <v>31</v>
      </c>
      <c r="B3" s="4" t="s">
        <v>25</v>
      </c>
      <c r="C3" s="4" t="s">
        <v>32</v>
      </c>
      <c r="F3" s="4" t="s">
        <v>34</v>
      </c>
      <c r="G3" s="4" t="s">
        <v>34</v>
      </c>
      <c r="H3" s="4"/>
      <c r="I3" s="5"/>
      <c r="J3" s="5"/>
      <c r="K3" s="5"/>
      <c r="L3" s="5"/>
      <c r="M3" s="5"/>
    </row>
    <row r="4" spans="1:13" x14ac:dyDescent="0.3">
      <c r="A4" s="4" t="s">
        <v>35</v>
      </c>
      <c r="B4" s="4" t="s">
        <v>36</v>
      </c>
      <c r="C4" s="4" t="s">
        <v>35</v>
      </c>
      <c r="F4" s="5" t="s">
        <v>37</v>
      </c>
      <c r="G4" s="5" t="s">
        <v>37</v>
      </c>
      <c r="H4" s="5"/>
      <c r="I4" s="5"/>
      <c r="J4" s="5"/>
      <c r="K4" s="5"/>
      <c r="L4" s="5"/>
      <c r="M4" s="5"/>
    </row>
    <row r="5" spans="1:13" x14ac:dyDescent="0.3">
      <c r="A5" s="4" t="s">
        <v>39</v>
      </c>
      <c r="B5" s="4" t="s">
        <v>35</v>
      </c>
      <c r="C5" s="4" t="s">
        <v>33</v>
      </c>
    </row>
    <row r="6" spans="1:13" x14ac:dyDescent="0.3">
      <c r="A6" s="4"/>
      <c r="B6" s="4" t="s">
        <v>33</v>
      </c>
      <c r="C6" s="4" t="s">
        <v>39</v>
      </c>
      <c r="H6" s="6" t="s">
        <v>26</v>
      </c>
    </row>
    <row r="7" spans="1:13" x14ac:dyDescent="0.3">
      <c r="A7" s="4"/>
      <c r="B7" s="4" t="s">
        <v>39</v>
      </c>
      <c r="C7" s="4"/>
      <c r="H7" s="6" t="s">
        <v>34</v>
      </c>
    </row>
    <row r="8" spans="1:13" x14ac:dyDescent="0.3">
      <c r="H8" s="1" t="s">
        <v>38</v>
      </c>
    </row>
    <row r="9" spans="1:13" x14ac:dyDescent="0.3">
      <c r="H9" s="1" t="s">
        <v>38</v>
      </c>
    </row>
    <row r="30" spans="1:3" x14ac:dyDescent="0.3">
      <c r="A30" s="1" t="s">
        <v>0</v>
      </c>
      <c r="B30" s="1" t="s">
        <v>1</v>
      </c>
      <c r="C30" s="1" t="s">
        <v>53</v>
      </c>
    </row>
    <row r="31" spans="1:3" x14ac:dyDescent="0.3">
      <c r="A31" s="1" t="s">
        <v>2</v>
      </c>
      <c r="B31" s="1">
        <v>8.11</v>
      </c>
      <c r="C31" s="1"/>
    </row>
    <row r="32" spans="1:3" x14ac:dyDescent="0.3">
      <c r="A32" s="1" t="s">
        <v>3</v>
      </c>
      <c r="B32" s="1">
        <v>4.8899999999999997</v>
      </c>
      <c r="C32" s="1"/>
    </row>
    <row r="33" spans="1:3" x14ac:dyDescent="0.3">
      <c r="A33" s="1" t="s">
        <v>4</v>
      </c>
      <c r="B33" s="1">
        <v>19.78</v>
      </c>
      <c r="C33" s="1"/>
    </row>
    <row r="34" spans="1:3" x14ac:dyDescent="0.3">
      <c r="A34" s="1" t="s">
        <v>5</v>
      </c>
      <c r="B34" s="1">
        <v>19.78</v>
      </c>
      <c r="C34" s="1"/>
    </row>
    <row r="35" spans="1:3" x14ac:dyDescent="0.3">
      <c r="A35" s="1" t="s">
        <v>46</v>
      </c>
      <c r="B35" s="1">
        <v>12</v>
      </c>
      <c r="C35" s="1"/>
    </row>
    <row r="36" spans="1:3" x14ac:dyDescent="0.3">
      <c r="A36" s="1" t="s">
        <v>6</v>
      </c>
      <c r="B36" s="1">
        <v>12</v>
      </c>
      <c r="C36" s="1"/>
    </row>
    <row r="37" spans="1:3" x14ac:dyDescent="0.3">
      <c r="A37" s="1" t="s">
        <v>7</v>
      </c>
      <c r="B37" s="1">
        <v>14.78</v>
      </c>
      <c r="C37" s="1"/>
    </row>
    <row r="38" spans="1:3" x14ac:dyDescent="0.3">
      <c r="A38" s="1" t="s">
        <v>8</v>
      </c>
      <c r="B38" s="1">
        <v>14.78</v>
      </c>
      <c r="C38" s="1"/>
    </row>
    <row r="39" spans="1:3" x14ac:dyDescent="0.3">
      <c r="A39" s="1" t="s">
        <v>9</v>
      </c>
      <c r="B39" s="1">
        <v>11</v>
      </c>
      <c r="C39" s="1">
        <v>19.8</v>
      </c>
    </row>
    <row r="40" spans="1:3" x14ac:dyDescent="0.3">
      <c r="A40" s="1" t="s">
        <v>10</v>
      </c>
      <c r="B40" s="1">
        <v>17</v>
      </c>
      <c r="C40" s="1"/>
    </row>
    <row r="41" spans="1:3" x14ac:dyDescent="0.3">
      <c r="A41" s="1" t="s">
        <v>11</v>
      </c>
      <c r="B41" s="1">
        <v>11</v>
      </c>
      <c r="C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Dashboard</vt:lpstr>
      <vt:lpstr>Detail Transaksi</vt:lpstr>
      <vt:lpstr>Pengeluaran</vt:lpstr>
      <vt:lpstr>Pemasukan</vt:lpstr>
      <vt:lpstr>Pendukung</vt:lpstr>
      <vt:lpstr>Alfamart</vt:lpstr>
      <vt:lpstr>Bluebird</vt:lpstr>
      <vt:lpstr>Gojek</vt:lpstr>
      <vt:lpstr>Indomaret</vt:lpstr>
      <vt:lpstr>Laundry</vt:lpstr>
      <vt:lpstr>Makan_Malam</vt:lpstr>
      <vt:lpstr>Makan_Siang</vt:lpstr>
      <vt:lpstr>N_A</vt:lpstr>
      <vt:lpstr>Sarapan</vt:lpstr>
      <vt:lpstr>Superindo</vt:lpstr>
      <vt:lpstr>Telkomsel</vt:lpstr>
      <vt:lpstr>Tokopedia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2025-08-06T03:35:32Z</dcterms:modified>
</cp:coreProperties>
</file>