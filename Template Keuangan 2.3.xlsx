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91DAB8DF-B917-4B2B-A09F-9808CD5F6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" sheetId="4" r:id="rId1"/>
    <sheet name="Digital" sheetId="1" r:id="rId2"/>
    <sheet name="Tunai" sheetId="5" r:id="rId3"/>
    <sheet name="Pendukung" sheetId="3" r:id="rId4"/>
  </sheets>
  <definedNames>
    <definedName name="Bluebird">Pendukung!$M$2</definedName>
    <definedName name="Gojek">Pendukung!$L$2</definedName>
    <definedName name="Indomaret">Pendukung!$H$2:$H$4</definedName>
    <definedName name="Laundry">Pendukung!$J$2</definedName>
    <definedName name="Makan_Malam">Pendukung!$C$2:$C$5</definedName>
    <definedName name="Makan_Siang">Pendukung!$B$2:$B$6</definedName>
    <definedName name="Makan_Siang_Malam">Pendukung!$D$2:$D$3</definedName>
    <definedName name="N_A">Pendukung!$E$2</definedName>
    <definedName name="Sarapan">Pendukung!$A$2:$A$5</definedName>
    <definedName name="Superindo">Pendukung!$I$2:$I$4</definedName>
    <definedName name="Telkomsel">Pendukung!$K$2</definedName>
    <definedName name="Tidak_Ada">Pendukung!$E$2</definedName>
    <definedName name="Titik">Pendukung!$E$2</definedName>
    <definedName name="Tokopedia">Pendukung!$N$2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L11" i="5"/>
  <c r="S11" i="4" s="1"/>
  <c r="F11" i="5"/>
  <c r="R31" i="4"/>
  <c r="V34" i="4"/>
  <c r="R34" i="4"/>
  <c r="V31" i="4"/>
  <c r="J12" i="4"/>
  <c r="J11" i="4"/>
  <c r="J10" i="4"/>
  <c r="J9" i="4"/>
  <c r="N12" i="4"/>
  <c r="S18" i="4"/>
  <c r="S20" i="4" l="1"/>
  <c r="O9" i="4"/>
  <c r="S19" i="4"/>
  <c r="M11" i="1"/>
  <c r="B20" i="4" s="1"/>
  <c r="F11" i="1"/>
  <c r="B19" i="4" l="1"/>
  <c r="C11" i="4"/>
  <c r="B21" i="4" l="1"/>
  <c r="O8" i="4"/>
</calcChain>
</file>

<file path=xl/sharedStrings.xml><?xml version="1.0" encoding="utf-8"?>
<sst xmlns="http://schemas.openxmlformats.org/spreadsheetml/2006/main" count="535" uniqueCount="69">
  <si>
    <t>No</t>
  </si>
  <si>
    <t>Detail</t>
  </si>
  <si>
    <t>Tanggal</t>
  </si>
  <si>
    <t>Harga</t>
  </si>
  <si>
    <t>Total</t>
  </si>
  <si>
    <t>Kebutuhan Lain</t>
  </si>
  <si>
    <t>Uang Tunai</t>
  </si>
  <si>
    <t>Detail Transaksi</t>
  </si>
  <si>
    <t>Budget Awal</t>
  </si>
  <si>
    <t>Uang Digital</t>
  </si>
  <si>
    <t>Budget Akhir</t>
  </si>
  <si>
    <t>Pengeluaran per Minggu</t>
  </si>
  <si>
    <t>Minggu 1</t>
  </si>
  <si>
    <t>Minggu 2</t>
  </si>
  <si>
    <t>Minggu 3</t>
  </si>
  <si>
    <t>Minggu 4</t>
  </si>
  <si>
    <t>Minggu 5</t>
  </si>
  <si>
    <t>Budget Maksimal per Hari</t>
  </si>
  <si>
    <t>Sisa Hari</t>
  </si>
  <si>
    <t>Makanan Pokok</t>
  </si>
  <si>
    <t>Uang tunai</t>
  </si>
  <si>
    <t>General</t>
  </si>
  <si>
    <t>Kategori</t>
  </si>
  <si>
    <t>Sarapan</t>
  </si>
  <si>
    <t>Makan Siang</t>
  </si>
  <si>
    <t>Makan Malam</t>
  </si>
  <si>
    <t>Makan Siang &amp; Malam</t>
  </si>
  <si>
    <t>Warteg</t>
  </si>
  <si>
    <t>Nasi Kuning</t>
  </si>
  <si>
    <t>Bikin Sendiri</t>
  </si>
  <si>
    <t>Balsan</t>
  </si>
  <si>
    <t>FKG</t>
  </si>
  <si>
    <t>Nasi Goreng</t>
  </si>
  <si>
    <t>Burger Bangor</t>
  </si>
  <si>
    <t>Gofood</t>
  </si>
  <si>
    <t>N/A</t>
  </si>
  <si>
    <t>N_A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</si>
  <si>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</si>
  <si>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</si>
  <si>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</si>
  <si>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</si>
  <si>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</si>
  <si>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</si>
  <si>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</si>
  <si>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</si>
  <si>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Kebutuhan Dapur</t>
  </si>
  <si>
    <t>Kebutuhan Mandi</t>
  </si>
  <si>
    <t>Buah</t>
  </si>
  <si>
    <t>Baju</t>
  </si>
  <si>
    <t>Topup</t>
  </si>
  <si>
    <t>Bayar</t>
  </si>
  <si>
    <t>Kebutuhan Kos</t>
  </si>
  <si>
    <t>Jajan</t>
  </si>
  <si>
    <t>Panel Kontrol</t>
  </si>
  <si>
    <t>Tanggal Awal</t>
  </si>
  <si>
    <t>Tanggal Akhir</t>
  </si>
  <si>
    <t>P</t>
  </si>
  <si>
    <t>Digital</t>
  </si>
  <si>
    <t>Tunai</t>
  </si>
  <si>
    <t>Progress Bar Budget</t>
  </si>
  <si>
    <t>Makanan Digital</t>
  </si>
  <si>
    <t>Alokasi Budget</t>
  </si>
  <si>
    <t>Kebutuhan Digital</t>
  </si>
  <si>
    <t>Makanan Tunai</t>
  </si>
  <si>
    <t>Kebutuhan Tunai</t>
  </si>
  <si>
    <t>Default</t>
  </si>
  <si>
    <t>Catatan:</t>
  </si>
  <si>
    <t>Ubah manual batas maksimum bar progress</t>
  </si>
  <si>
    <t>Template Keuangan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</si>
</sst>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12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9" xfId="1" applyFont="1" applyBorder="1" applyAlignment="1">
      <alignment vertical="center"/>
    </xf>
    <xf numFmtId="44" fontId="0" fillId="0" borderId="10" xfId="1" applyFont="1" applyBorder="1" applyAlignment="1">
      <alignment vertical="center"/>
    </xf>
    <xf numFmtId="44" fontId="0" fillId="0" borderId="11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34-47F9-BFE6-6DB1D319BF4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34-47F9-BFE6-6DB1D319BF4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34-47F9-BFE6-6DB1D319BF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Detail!$B$19:$B$21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34-47F9-BFE6-6DB1D319BF40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73-4FC9-BABE-548FF3808D2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73-4FC9-BABE-548FF3808D2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73-4FC9-BABE-548FF3808D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 Pokok</c:v>
              </c:pt>
              <c:pt idx="1">
                <c:v>Kebutuhan Lain</c:v>
              </c:pt>
              <c:pt idx="2">
                <c:v>Sisa Uang</c:v>
              </c:pt>
            </c:strLit>
          </c:cat>
          <c:val>
            <c:numRef>
              <c:f>Detail!$S$18:$S$20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73-4FC9-BABE-548FF3808D2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Detail!$J$8:$J$12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8-4F75-BB86-4047B1B9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589631"/>
        <c:axId val="551590111"/>
      </c:lineChart>
      <c:catAx>
        <c:axId val="5515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90111"/>
        <c:crosses val="autoZero"/>
        <c:auto val="1"/>
        <c:lblAlgn val="ctr"/>
        <c:lblOffset val="100"/>
        <c:noMultiLvlLbl val="0"/>
      </c:catAx>
      <c:valAx>
        <c:axId val="5515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8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11483</xdr:rowOff>
    </xdr:from>
    <xdr:to>
      <xdr:col>7</xdr:col>
      <xdr:colOff>8964</xdr:colOff>
      <xdr:row>23</xdr:row>
      <xdr:rowOff>242047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E2B4B3-35D4-4B5D-84C3-53397EF68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693</xdr:colOff>
      <xdr:row>13</xdr:row>
      <xdr:rowOff>5129</xdr:rowOff>
    </xdr:from>
    <xdr:to>
      <xdr:col>22</xdr:col>
      <xdr:colOff>794657</xdr:colOff>
      <xdr:row>24</xdr:row>
      <xdr:rowOff>8966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2EFA2-CE45-49AD-B161-57DAF4BC3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13</xdr:row>
      <xdr:rowOff>13047</xdr:rowOff>
    </xdr:from>
    <xdr:to>
      <xdr:col>16</xdr:col>
      <xdr:colOff>0</xdr:colOff>
      <xdr:row>24</xdr:row>
      <xdr:rowOff>17930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9C682-5AF9-47BC-9BA0-CB116AE37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3135-5082-417D-9A35-FCAA173AC124}">
  <dimension ref="A1:X37"/>
  <sheetViews>
    <sheetView tabSelected="1" topLeftCell="A22" zoomScale="70" zoomScaleNormal="70" workbookViewId="0">
      <selection activeCell="E35" sqref="E35:F35"/>
    </sheetView>
  </sheetViews>
  <sheetFormatPr defaultColWidth="11.77734375" defaultRowHeight="19.95" customHeight="1" x14ac:dyDescent="0.3"/>
  <cols>
    <col min="1" max="19" width="11.77734375" style="10"/>
    <col min="20" max="20" width="11.77734375" style="10" customWidth="1"/>
    <col min="21" max="16384" width="11.77734375" style="10"/>
  </cols>
  <sheetData>
    <row r="1" spans="1:24" ht="19.95" customHeight="1" x14ac:dyDescent="0.3">
      <c r="A1" s="34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9.95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4" spans="1:24" ht="19.95" customHeight="1" x14ac:dyDescent="0.3">
      <c r="B4" s="30" t="s">
        <v>9</v>
      </c>
      <c r="C4" s="30"/>
      <c r="D4" s="30"/>
      <c r="E4" s="30"/>
      <c r="F4" s="30"/>
      <c r="G4" s="30"/>
      <c r="I4" s="24" t="s">
        <v>21</v>
      </c>
      <c r="J4" s="25"/>
      <c r="K4" s="25"/>
      <c r="L4" s="25"/>
      <c r="M4" s="25"/>
      <c r="N4" s="25"/>
      <c r="O4" s="25"/>
      <c r="P4" s="26"/>
      <c r="R4" s="30" t="s">
        <v>20</v>
      </c>
      <c r="S4" s="30"/>
      <c r="T4" s="30"/>
      <c r="U4" s="30"/>
      <c r="V4" s="30"/>
      <c r="W4" s="30"/>
    </row>
    <row r="5" spans="1:24" ht="19.95" customHeight="1" x14ac:dyDescent="0.3">
      <c r="B5" s="30"/>
      <c r="C5" s="30"/>
      <c r="D5" s="30"/>
      <c r="E5" s="30"/>
      <c r="F5" s="30"/>
      <c r="G5" s="30"/>
      <c r="I5" s="27"/>
      <c r="J5" s="28"/>
      <c r="K5" s="28"/>
      <c r="L5" s="28"/>
      <c r="M5" s="28"/>
      <c r="N5" s="28"/>
      <c r="O5" s="28"/>
      <c r="P5" s="29"/>
      <c r="R5" s="30"/>
      <c r="S5" s="30"/>
      <c r="T5" s="30"/>
      <c r="U5" s="30"/>
      <c r="V5" s="30"/>
      <c r="W5" s="30"/>
    </row>
    <row r="7" spans="1:24" ht="19.95" customHeight="1" x14ac:dyDescent="0.3">
      <c r="C7" s="23" t="s">
        <v>8</v>
      </c>
      <c r="D7" s="23"/>
      <c r="E7" s="23"/>
      <c r="F7" s="23"/>
      <c r="I7" s="23" t="s">
        <v>11</v>
      </c>
      <c r="J7" s="23"/>
      <c r="K7" s="23"/>
      <c r="L7" s="23"/>
      <c r="N7" s="23" t="s">
        <v>17</v>
      </c>
      <c r="O7" s="23"/>
      <c r="P7" s="23"/>
      <c r="S7" s="23" t="s">
        <v>8</v>
      </c>
      <c r="T7" s="23"/>
      <c r="U7" s="23"/>
      <c r="V7" s="23"/>
    </row>
    <row r="8" spans="1:24" ht="19.95" customHeight="1" x14ac:dyDescent="0.3">
      <c r="C8" s="16"/>
      <c r="D8" s="16"/>
      <c r="E8" s="16"/>
      <c r="F8" s="16"/>
      <c r="I8" s="1" t="s">
        <v>12</v>
      </c>
      <c r="J8" s="16">
        <f>SUMIFS(Digital!$E$11:$E$70, Digital!$D$11:$D$70, "&gt;="&amp;B31, Digital!$D$11:$D$70, "&lt;="&amp;E31)
+ SUMIFS(Digital!$L$11:$L$70, Digital!$K$11:$K$70, "&gt;="&amp;B31, Digital!$K$11:$K$70, "&lt;="&amp;E31)
+ SUMIFS(Tunai!$E$11:$E$70, Tunai!$D$11:$D$70, "&gt;="&amp;B31, Tunai!$D$11:$D$70, "&lt;="&amp;E31)
+ SUMIFS(Tunai!$K$11:$K$70, Tunai!$J$11:$J$70, "&gt;="&amp;B31, Tunai!$J$11:$J$70, "&lt;="&amp;E31)</f>
        <v>0</v>
      </c>
      <c r="K8" s="16"/>
      <c r="L8" s="16"/>
      <c r="N8" s="1" t="s">
        <v>57</v>
      </c>
      <c r="O8" s="32">
        <f ca="1" xml:space="preserve"> C11 / (DAY(EOMONTH(TODAY(),0)) - DAY(TODAY()) + 1)</f>
        <v>0</v>
      </c>
      <c r="P8" s="32"/>
      <c r="S8" s="16"/>
      <c r="T8" s="16"/>
      <c r="U8" s="16"/>
      <c r="V8" s="16"/>
    </row>
    <row r="9" spans="1:24" ht="19.95" customHeight="1" x14ac:dyDescent="0.3">
      <c r="C9" s="11"/>
      <c r="D9" s="11"/>
      <c r="I9" s="1" t="s">
        <v>13</v>
      </c>
      <c r="J9" s="16">
        <f>SUMIFS(Digital!$E$11:$E$70, Digital!$D$11:$D$70, "&gt;="&amp;B32, Digital!$D$11:$D$70, "&lt;="&amp;E32)
+ SUMIFS(Digital!$L$11:$L$70, Digital!$K$11:$K$70, "&gt;="&amp;B32, Digital!$K$11:$K$70, "&lt;="&amp;E32)
+ SUMIFS(Tunai!$E$11:$E$70, Tunai!$D$11:$D$70, "&gt;="&amp;B32, Tunai!$D$11:$D$70, "&lt;="&amp;E32)
+ SUMIFS(Tunai!$K$11:$K$70, Tunai!$J$11:$J$70, "&gt;="&amp;B32, Tunai!$J$11:$J$70, "&lt;="&amp;E32)</f>
        <v>0</v>
      </c>
      <c r="K9" s="16"/>
      <c r="L9" s="16"/>
      <c r="N9" s="1" t="s">
        <v>58</v>
      </c>
      <c r="O9" s="32">
        <f ca="1" xml:space="preserve"> S11 / (DAY(EOMONTH(TODAY(),0)) - DAY(TODAY()) + 1)</f>
        <v>0</v>
      </c>
      <c r="P9" s="32"/>
    </row>
    <row r="10" spans="1:24" ht="19.95" customHeight="1" x14ac:dyDescent="0.3">
      <c r="C10" s="23" t="s">
        <v>10</v>
      </c>
      <c r="D10" s="23"/>
      <c r="E10" s="23"/>
      <c r="F10" s="23"/>
      <c r="I10" s="1" t="s">
        <v>14</v>
      </c>
      <c r="J10" s="16">
        <f>SUMIFS(Digital!$E$11:$E$70, Digital!$D$11:$D$70, "&gt;="&amp;B33, Digital!$D$11:$D$70, "&lt;="&amp;E33)
+ SUMIFS(Digital!$L$11:$L$70, Digital!$K$11:$K$70, "&gt;="&amp;B33, Digital!$K$11:$K$70, "&lt;="&amp;E33)
+ SUMIFS(Tunai!$E$11:$E$70, Tunai!$D$11:$D$70, "&gt;="&amp;B33, Tunai!$D$11:$D$70, "&lt;="&amp;E33)
+ SUMIFS(Tunai!$K$11:$K$70, Tunai!$J$11:$J$70, "&gt;="&amp;B33, Tunai!$J$11:$J$70, "&lt;="&amp;E33)</f>
        <v>0</v>
      </c>
      <c r="K10" s="16"/>
      <c r="L10" s="16"/>
      <c r="S10" s="23" t="s">
        <v>10</v>
      </c>
      <c r="T10" s="23"/>
      <c r="U10" s="23"/>
      <c r="V10" s="23"/>
    </row>
    <row r="11" spans="1:24" ht="19.95" customHeight="1" x14ac:dyDescent="0.3">
      <c r="C11" s="16">
        <f>C8-Digital!F11-Digital!M11</f>
        <v>0</v>
      </c>
      <c r="D11" s="16"/>
      <c r="E11" s="16"/>
      <c r="F11" s="16"/>
      <c r="I11" s="1" t="s">
        <v>15</v>
      </c>
      <c r="J11" s="16">
        <f>SUMIFS(Digital!$E$11:$E$70, Digital!$D$11:$D$70, "&gt;="&amp;B34, Digital!$D$11:$D$70, "&lt;="&amp;E34)
+ SUMIFS(Digital!$L$11:$L$70, Digital!$K$11:$K$70, "&gt;="&amp;B34, Digital!$K$11:$K$70, "&lt;="&amp;E34)
+ SUMIFS(Tunai!$E$11:$E$70, Tunai!$D$11:$D$70, "&gt;="&amp;B34, Tunai!$D$11:$D$70, "&lt;="&amp;E34)
+ SUMIFS(Tunai!$K$11:$K$70, Tunai!$J$11:$J$70, "&gt;="&amp;B34, Tunai!$J$11:$J$70, "&lt;="&amp;E34)</f>
        <v>0</v>
      </c>
      <c r="K11" s="16"/>
      <c r="L11" s="16"/>
      <c r="N11" s="23" t="s">
        <v>18</v>
      </c>
      <c r="O11" s="23"/>
      <c r="S11" s="16">
        <f>S8-Tunai!F11-Tunai!L11</f>
        <v>0</v>
      </c>
      <c r="T11" s="16"/>
      <c r="U11" s="16"/>
      <c r="V11" s="16"/>
    </row>
    <row r="12" spans="1:24" ht="19.95" customHeight="1" x14ac:dyDescent="0.3">
      <c r="I12" s="1" t="s">
        <v>16</v>
      </c>
      <c r="J12" s="16">
        <f>SUMIFS(Digital!$E$11:$E$70, Digital!$D$11:$D$70, "&gt;="&amp;B35, Digital!$D$11:$D$70, "&lt;="&amp;E35)
+ SUMIFS(Digital!$L$11:$L$70, Digital!$K$11:$K$70, "&gt;="&amp;B35, Digital!$K$11:$K$70, "&lt;="&amp;E35)
+ SUMIFS(Tunai!$E$11:$E$70, Tunai!$D$11:$D$70, "&gt;="&amp;B35, Tunai!$D$11:$D$70, "&lt;="&amp;E35)
+ SUMIFS(Tunai!$K$11:$K$70, Tunai!$J$11:$J$70, "&gt;="&amp;B35, Tunai!$J$11:$J$70, "&lt;="&amp;E35)</f>
        <v>0</v>
      </c>
      <c r="K12" s="16"/>
      <c r="L12" s="16"/>
      <c r="N12" s="33">
        <f ca="1">DAY(EOMONTH(TODAY(),0)) - DAY(TODAY()) + 1</f>
        <v>1</v>
      </c>
      <c r="O12" s="33"/>
    </row>
    <row r="18" spans="1:23" ht="19.95" customHeight="1" x14ac:dyDescent="0.3">
      <c r="S18" s="12">
        <f>Tunai!F11</f>
        <v>0</v>
      </c>
    </row>
    <row r="19" spans="1:23" ht="19.95" customHeight="1" x14ac:dyDescent="0.3">
      <c r="B19" s="12">
        <f>Digital!F11</f>
        <v>0</v>
      </c>
      <c r="S19" s="12">
        <f>Tunai!L11</f>
        <v>0</v>
      </c>
    </row>
    <row r="20" spans="1:23" ht="19.95" customHeight="1" x14ac:dyDescent="0.3">
      <c r="B20" s="12">
        <f>Digital!M11</f>
        <v>0</v>
      </c>
      <c r="S20" s="12">
        <f>S11</f>
        <v>0</v>
      </c>
    </row>
    <row r="21" spans="1:23" ht="19.95" customHeight="1" x14ac:dyDescent="0.3">
      <c r="B21" s="12">
        <f>C11</f>
        <v>0</v>
      </c>
    </row>
    <row r="27" spans="1:23" ht="19.95" customHeight="1" x14ac:dyDescent="0.3">
      <c r="A27" s="20" t="s">
        <v>53</v>
      </c>
      <c r="B27" s="20"/>
      <c r="C27" s="20"/>
      <c r="D27" s="20"/>
      <c r="E27" s="20"/>
      <c r="F27" s="20"/>
      <c r="G27" s="20"/>
      <c r="I27" s="20" t="s">
        <v>59</v>
      </c>
      <c r="J27" s="31"/>
      <c r="K27" s="31"/>
      <c r="L27" s="31"/>
      <c r="M27" s="31"/>
      <c r="N27" s="31"/>
      <c r="O27" s="31"/>
      <c r="P27" s="31"/>
      <c r="R27" s="20" t="s">
        <v>61</v>
      </c>
      <c r="S27" s="20"/>
      <c r="T27" s="20"/>
      <c r="U27" s="20"/>
      <c r="V27" s="20"/>
      <c r="W27" s="20"/>
    </row>
    <row r="28" spans="1:23" ht="19.95" customHeight="1" x14ac:dyDescent="0.3">
      <c r="A28" s="20"/>
      <c r="B28" s="20"/>
      <c r="C28" s="20"/>
      <c r="D28" s="20"/>
      <c r="E28" s="20"/>
      <c r="F28" s="20"/>
      <c r="G28" s="20"/>
      <c r="I28" s="31"/>
      <c r="J28" s="31"/>
      <c r="K28" s="31"/>
      <c r="L28" s="31"/>
      <c r="M28" s="31"/>
      <c r="N28" s="31"/>
      <c r="O28" s="31"/>
      <c r="P28" s="31"/>
      <c r="R28" s="20"/>
      <c r="S28" s="20"/>
      <c r="T28" s="20"/>
      <c r="U28" s="20"/>
      <c r="V28" s="20"/>
      <c r="W28" s="20"/>
    </row>
    <row r="30" spans="1:23" ht="19.95" customHeight="1" x14ac:dyDescent="0.3">
      <c r="B30" s="15" t="s">
        <v>54</v>
      </c>
      <c r="C30" s="15"/>
      <c r="E30" s="15" t="s">
        <v>55</v>
      </c>
      <c r="F30" s="15"/>
      <c r="I30" s="14" t="s">
        <v>60</v>
      </c>
      <c r="J30" s="15"/>
      <c r="K30" s="15"/>
      <c r="N30" s="14" t="s">
        <v>62</v>
      </c>
      <c r="O30" s="15"/>
      <c r="P30" s="15"/>
      <c r="R30" s="14" t="s">
        <v>60</v>
      </c>
      <c r="S30" s="15"/>
      <c r="V30" s="14" t="s">
        <v>62</v>
      </c>
      <c r="W30" s="15"/>
    </row>
    <row r="31" spans="1:23" ht="19.95" customHeight="1" x14ac:dyDescent="0.3">
      <c r="B31" s="35">
        <v>45658</v>
      </c>
      <c r="C31" s="35"/>
      <c r="E31" s="35">
        <v>45664</v>
      </c>
      <c r="F31" s="35"/>
      <c r="I31" s="17"/>
      <c r="J31" s="18"/>
      <c r="K31" s="19"/>
      <c r="N31" s="16"/>
      <c r="O31" s="16"/>
      <c r="P31" s="16"/>
      <c r="R31" s="21">
        <f>C8*40%</f>
        <v>0</v>
      </c>
      <c r="S31" s="22"/>
      <c r="T31" s="12"/>
      <c r="V31" s="16">
        <f>C8*60%</f>
        <v>0</v>
      </c>
      <c r="W31" s="16"/>
    </row>
    <row r="32" spans="1:23" ht="19.95" customHeight="1" x14ac:dyDescent="0.3">
      <c r="B32" s="35">
        <v>45665</v>
      </c>
      <c r="C32" s="35"/>
      <c r="E32" s="35">
        <v>45671</v>
      </c>
      <c r="F32" s="35"/>
    </row>
    <row r="33" spans="2:23" ht="19.95" customHeight="1" x14ac:dyDescent="0.3">
      <c r="B33" s="35">
        <v>45672</v>
      </c>
      <c r="C33" s="35"/>
      <c r="E33" s="35">
        <v>45678</v>
      </c>
      <c r="F33" s="35"/>
      <c r="I33" s="14" t="s">
        <v>63</v>
      </c>
      <c r="J33" s="15"/>
      <c r="K33" s="15"/>
      <c r="N33" s="14" t="s">
        <v>64</v>
      </c>
      <c r="O33" s="15"/>
      <c r="P33" s="15"/>
      <c r="R33" s="14" t="s">
        <v>63</v>
      </c>
      <c r="S33" s="15"/>
      <c r="V33" s="14" t="s">
        <v>64</v>
      </c>
      <c r="W33" s="15"/>
    </row>
    <row r="34" spans="2:23" ht="19.95" customHeight="1" x14ac:dyDescent="0.3">
      <c r="B34" s="35">
        <v>45679</v>
      </c>
      <c r="C34" s="35"/>
      <c r="E34" s="35">
        <v>45685</v>
      </c>
      <c r="F34" s="33"/>
      <c r="I34" s="16"/>
      <c r="J34" s="16"/>
      <c r="K34" s="16"/>
      <c r="N34" s="16"/>
      <c r="O34" s="16"/>
      <c r="P34" s="16"/>
      <c r="R34" s="16">
        <f>S8*40%</f>
        <v>0</v>
      </c>
      <c r="S34" s="16"/>
      <c r="V34" s="16">
        <f>S8*60%</f>
        <v>0</v>
      </c>
      <c r="W34" s="16"/>
    </row>
    <row r="35" spans="2:23" ht="19.95" customHeight="1" x14ac:dyDescent="0.3">
      <c r="B35" s="35">
        <v>45686</v>
      </c>
      <c r="C35" s="35"/>
      <c r="E35" s="35">
        <v>45688</v>
      </c>
      <c r="F35" s="35"/>
    </row>
    <row r="36" spans="2:23" ht="19.95" customHeight="1" x14ac:dyDescent="0.3">
      <c r="I36" s="10" t="s">
        <v>66</v>
      </c>
    </row>
    <row r="37" spans="2:23" ht="19.95" customHeight="1" x14ac:dyDescent="0.3">
      <c r="I37" s="10" t="s">
        <v>67</v>
      </c>
    </row>
  </sheetData>
  <mergeCells count="54">
    <mergeCell ref="B34:C34"/>
    <mergeCell ref="B33:C33"/>
    <mergeCell ref="B32:C32"/>
    <mergeCell ref="B31:C31"/>
    <mergeCell ref="B30:C30"/>
    <mergeCell ref="A1:X2"/>
    <mergeCell ref="E35:F35"/>
    <mergeCell ref="E34:F34"/>
    <mergeCell ref="E33:F33"/>
    <mergeCell ref="E32:F32"/>
    <mergeCell ref="E31:F31"/>
    <mergeCell ref="E30:F30"/>
    <mergeCell ref="J11:L11"/>
    <mergeCell ref="J10:L10"/>
    <mergeCell ref="J9:L9"/>
    <mergeCell ref="J8:L8"/>
    <mergeCell ref="I7:L7"/>
    <mergeCell ref="N7:P7"/>
    <mergeCell ref="O8:P8"/>
    <mergeCell ref="A27:G28"/>
    <mergeCell ref="B35:C35"/>
    <mergeCell ref="B4:G5"/>
    <mergeCell ref="C7:F7"/>
    <mergeCell ref="C8:F8"/>
    <mergeCell ref="C10:F10"/>
    <mergeCell ref="C11:F11"/>
    <mergeCell ref="S7:V7"/>
    <mergeCell ref="I4:P5"/>
    <mergeCell ref="R4:W5"/>
    <mergeCell ref="I27:P28"/>
    <mergeCell ref="I30:K30"/>
    <mergeCell ref="O9:P9"/>
    <mergeCell ref="S11:V11"/>
    <mergeCell ref="S10:V10"/>
    <mergeCell ref="S8:V8"/>
    <mergeCell ref="J12:L12"/>
    <mergeCell ref="N12:O12"/>
    <mergeCell ref="N11:O11"/>
    <mergeCell ref="I31:K31"/>
    <mergeCell ref="R27:W28"/>
    <mergeCell ref="R30:S30"/>
    <mergeCell ref="R31:S31"/>
    <mergeCell ref="N30:P30"/>
    <mergeCell ref="N31:P31"/>
    <mergeCell ref="V30:W30"/>
    <mergeCell ref="V31:W31"/>
    <mergeCell ref="R33:S33"/>
    <mergeCell ref="R34:S34"/>
    <mergeCell ref="V33:W33"/>
    <mergeCell ref="V34:W34"/>
    <mergeCell ref="I33:K33"/>
    <mergeCell ref="I34:K34"/>
    <mergeCell ref="N33:P33"/>
    <mergeCell ref="N34:P34"/>
  </mergeCells>
  <conditionalFormatting sqref="I31:K31">
    <cfRule type="dataBar" priority="5">
      <dataBar>
        <cfvo type="num" val="0"/>
        <cfvo type="num" val="&quot;$R$31&quot;"/>
        <color rgb="FF638EC6"/>
      </dataBar>
      <extLst>
        <ext xmlns:x14="http://schemas.microsoft.com/office/spreadsheetml/2009/9/main" uri="{B025F937-C7B1-47D3-B67F-A62EFF666E3E}">
          <x14:id>{2F09D88E-A7FB-4F9E-8B26-E986E2D738D8}</x14:id>
        </ext>
      </extLst>
    </cfRule>
  </conditionalFormatting>
  <conditionalFormatting sqref="I34:K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{E7E7E85B-A9C9-4538-A346-868E7F4D91DC}</x14:id>
        </ext>
      </extLst>
    </cfRule>
    <cfRule type="dataBar" priority="4">
      <dataBar>
        <cfvo type="num" val="0"/>
        <cfvo type="num" val="&quot;$R$34&quot;"/>
        <color rgb="FF638EC6"/>
      </dataBar>
      <extLst>
        <ext xmlns:x14="http://schemas.microsoft.com/office/spreadsheetml/2009/9/main" uri="{B025F937-C7B1-47D3-B67F-A62EFF666E3E}">
          <x14:id>{D31A86AE-4542-4D1A-BD53-C6970C4A762D}</x14:id>
        </ext>
      </extLst>
    </cfRule>
  </conditionalFormatting>
  <conditionalFormatting sqref="N12">
    <cfRule type="cellIs" dxfId="27" priority="7" operator="lessThan">
      <formula>7</formula>
    </cfRule>
    <cfRule type="cellIs" dxfId="26" priority="8" operator="between">
      <formula>14</formula>
      <formula>6</formula>
    </cfRule>
    <cfRule type="cellIs" dxfId="25" priority="9" operator="between">
      <formula>20</formula>
      <formula>13</formula>
    </cfRule>
    <cfRule type="cellIs" dxfId="24" priority="10" operator="between">
      <formula>28</formula>
      <formula>20</formula>
    </cfRule>
    <cfRule type="cellIs" dxfId="23" priority="11" operator="greaterThan">
      <formula>28</formula>
    </cfRule>
  </conditionalFormatting>
  <conditionalFormatting sqref="N31:P31">
    <cfRule type="dataBar" priority="3">
      <dataBar>
        <cfvo type="num" val="0"/>
        <cfvo type="num" val="&quot;$V$31&quot;"/>
        <color rgb="FF638EC6"/>
      </dataBar>
      <extLst>
        <ext xmlns:x14="http://schemas.microsoft.com/office/spreadsheetml/2009/9/main" uri="{B025F937-C7B1-47D3-B67F-A62EFF666E3E}">
          <x14:id>{F59E0B15-42B8-4740-A7D5-10F78DAF841D}</x14:id>
        </ext>
      </extLst>
    </cfRule>
  </conditionalFormatting>
  <conditionalFormatting sqref="N34:P34">
    <cfRule type="dataBar" priority="2">
      <dataBar>
        <cfvo type="num" val="0"/>
        <cfvo type="num" val="&quot;$V$34&quot;"/>
        <color rgb="FF638EC6"/>
      </dataBar>
      <extLst>
        <ext xmlns:x14="http://schemas.microsoft.com/office/spreadsheetml/2009/9/main" uri="{B025F937-C7B1-47D3-B67F-A62EFF666E3E}">
          <x14:id>{A3B602BC-EE34-4250-A572-36FF3A3C639E}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09D88E-A7FB-4F9E-8B26-E986E2D738D8}">
            <x14:dataBar minLength="0" maxLength="100" gradient="0" direction="leftToRight">
              <x14:cfvo type="num">
                <xm:f>0</xm:f>
              </x14:cfvo>
              <x14:cfvo type="num">
                <xm:f>"$R$31"</xm:f>
              </x14:cfvo>
              <x14:negativeFillColor rgb="FFFF0000"/>
              <x14:axisColor rgb="FF000000"/>
            </x14:dataBar>
          </x14:cfRule>
          <xm:sqref>I31:K31</xm:sqref>
        </x14:conditionalFormatting>
        <x14:conditionalFormatting xmlns:xm="http://schemas.microsoft.com/office/excel/2006/main">
          <x14:cfRule type="dataBar" id="{E7E7E85B-A9C9-4538-A346-868E7F4D9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1A86AE-4542-4D1A-BD53-C6970C4A762D}">
            <x14:dataBar minLength="0" maxLength="100" gradient="0" direction="leftToRight">
              <x14:cfvo type="num">
                <xm:f>0</xm:f>
              </x14:cfvo>
              <x14:cfvo type="num">
                <xm:f>"$R$34"</xm:f>
              </x14:cfvo>
              <x14:negativeFillColor rgb="FFFF0000"/>
              <x14:axisColor rgb="FF000000"/>
            </x14:dataBar>
          </x14:cfRule>
          <xm:sqref>I34:K34</xm:sqref>
        </x14:conditionalFormatting>
        <x14:conditionalFormatting xmlns:xm="http://schemas.microsoft.com/office/excel/2006/main">
          <x14:cfRule type="dataBar" id="{F59E0B15-42B8-4740-A7D5-10F78DAF841D}">
            <x14:dataBar minLength="0" maxLength="100" gradient="0" direction="leftToRight">
              <x14:cfvo type="num">
                <xm:f>0</xm:f>
              </x14:cfvo>
              <x14:cfvo type="num">
                <xm:f>"$V$31"</xm:f>
              </x14:cfvo>
              <x14:negativeFillColor rgb="FFFF0000"/>
              <x14:axisColor rgb="FF000000"/>
            </x14:dataBar>
          </x14:cfRule>
          <xm:sqref>N31:P31</xm:sqref>
        </x14:conditionalFormatting>
        <x14:conditionalFormatting xmlns:xm="http://schemas.microsoft.com/office/excel/2006/main">
          <x14:cfRule type="dataBar" id="{A3B602BC-EE34-4250-A572-36FF3A3C639E}">
            <x14:dataBar minLength="0" maxLength="100" gradient="0" direction="leftToRight">
              <x14:cfvo type="num">
                <xm:f>0</xm:f>
              </x14:cfvo>
              <x14:cfvo type="num">
                <xm:f>"$V$34"</xm:f>
              </x14:cfvo>
              <x14:negativeFillColor rgb="FFFF0000"/>
              <x14:axisColor rgb="FF000000"/>
            </x14:dataBar>
          </x14:cfRule>
          <xm:sqref>N34:P34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zoomScale="70" zoomScaleNormal="70" workbookViewId="0">
      <selection activeCell="A4" sqref="A4"/>
    </sheetView>
  </sheetViews>
  <sheetFormatPr defaultRowHeight="14.4" customHeight="1" x14ac:dyDescent="0.3"/>
  <cols>
    <col min="1" max="1" width="5.77734375" customWidth="1"/>
    <col min="2" max="3" width="20.5546875" customWidth="1"/>
    <col min="4" max="6" width="17.5546875" customWidth="1"/>
    <col min="7" max="7" width="8.88671875" customWidth="1"/>
    <col min="8" max="8" width="5.77734375" customWidth="1"/>
    <col min="9" max="10" width="20.5546875" customWidth="1"/>
    <col min="11" max="13" width="17.5546875" customWidth="1"/>
    <col min="14" max="15" width="20.6640625" customWidth="1"/>
    <col min="16" max="17" width="20.5546875" customWidth="1"/>
    <col min="18" max="20" width="17.5546875" customWidth="1"/>
    <col min="21" max="21" width="8.88671875" customWidth="1"/>
    <col min="22" max="22" width="5.77734375" customWidth="1"/>
    <col min="23" max="23" width="20.5546875" customWidth="1"/>
    <col min="24" max="26" width="17.5546875" customWidth="1"/>
  </cols>
  <sheetData>
    <row r="1" spans="1:13" ht="14.4" customHeight="1" x14ac:dyDescent="0.3">
      <c r="A1" s="36" t="s">
        <v>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4.4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14.4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5" spans="1:13" ht="14.4" customHeight="1" x14ac:dyDescent="0.3">
      <c r="A5" s="30" t="s">
        <v>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14.4" customHeight="1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8" spans="1:13" ht="14.4" customHeight="1" x14ac:dyDescent="0.3">
      <c r="A8" s="20" t="s">
        <v>19</v>
      </c>
      <c r="B8" s="20"/>
      <c r="C8" s="20"/>
      <c r="D8" s="20"/>
      <c r="E8" s="20"/>
      <c r="F8" s="20"/>
      <c r="H8" s="20" t="s">
        <v>5</v>
      </c>
      <c r="I8" s="20"/>
      <c r="J8" s="20"/>
      <c r="K8" s="20"/>
      <c r="L8" s="20"/>
      <c r="M8" s="20"/>
    </row>
    <row r="9" spans="1:13" ht="14.4" customHeight="1" x14ac:dyDescent="0.3">
      <c r="A9" s="20"/>
      <c r="B9" s="20"/>
      <c r="C9" s="20"/>
      <c r="D9" s="20"/>
      <c r="E9" s="20"/>
      <c r="F9" s="20"/>
      <c r="H9" s="20"/>
      <c r="I9" s="20"/>
      <c r="J9" s="20"/>
      <c r="K9" s="20"/>
      <c r="L9" s="20"/>
      <c r="M9" s="20"/>
    </row>
    <row r="10" spans="1:13" ht="14.4" customHeight="1" x14ac:dyDescent="0.3">
      <c r="A10" s="1" t="s">
        <v>0</v>
      </c>
      <c r="B10" s="1" t="s">
        <v>22</v>
      </c>
      <c r="C10" s="1" t="s">
        <v>1</v>
      </c>
      <c r="D10" s="1" t="s">
        <v>2</v>
      </c>
      <c r="E10" s="1" t="s">
        <v>3</v>
      </c>
      <c r="F10" s="1" t="s">
        <v>4</v>
      </c>
      <c r="H10" s="1" t="s">
        <v>0</v>
      </c>
      <c r="I10" s="1" t="s">
        <v>22</v>
      </c>
      <c r="J10" s="1" t="s">
        <v>1</v>
      </c>
      <c r="K10" s="1" t="s">
        <v>2</v>
      </c>
      <c r="L10" s="1" t="s">
        <v>3</v>
      </c>
      <c r="M10" s="1" t="s">
        <v>4</v>
      </c>
    </row>
    <row r="11" spans="1:13" ht="14.4" customHeight="1" x14ac:dyDescent="0.3">
      <c r="A11" s="1">
        <v>1</v>
      </c>
      <c r="B11" s="1" t="s">
        <v>36</v>
      </c>
      <c r="C11" s="1" t="s">
        <v>35</v>
      </c>
      <c r="D11" s="6"/>
      <c r="E11" s="2"/>
      <c r="F11" s="3">
        <f>SUM(E11:E70)</f>
        <v>0</v>
      </c>
      <c r="H11" s="1">
        <v>1</v>
      </c>
      <c r="I11" s="1" t="s">
        <v>36</v>
      </c>
      <c r="J11" s="5" t="s">
        <v>35</v>
      </c>
      <c r="K11" s="1"/>
      <c r="L11" s="2"/>
      <c r="M11" s="4">
        <f>SUM(L11:L70)</f>
        <v>0</v>
      </c>
    </row>
    <row r="12" spans="1:13" ht="14.4" customHeight="1" x14ac:dyDescent="0.3">
      <c r="A12" s="1">
        <v>2</v>
      </c>
      <c r="B12" s="1" t="s">
        <v>36</v>
      </c>
      <c r="C12" s="1" t="s">
        <v>35</v>
      </c>
      <c r="D12" s="6"/>
      <c r="E12" s="2"/>
      <c r="H12" s="1">
        <v>2</v>
      </c>
      <c r="I12" s="1" t="s">
        <v>36</v>
      </c>
      <c r="J12" s="5" t="s">
        <v>35</v>
      </c>
      <c r="K12" s="1"/>
      <c r="L12" s="2"/>
    </row>
    <row r="13" spans="1:13" ht="14.4" customHeight="1" x14ac:dyDescent="0.3">
      <c r="A13" s="1">
        <v>3</v>
      </c>
      <c r="B13" s="1" t="s">
        <v>36</v>
      </c>
      <c r="C13" s="1" t="s">
        <v>35</v>
      </c>
      <c r="D13" s="6"/>
      <c r="E13" s="2"/>
      <c r="H13" s="1">
        <v>3</v>
      </c>
      <c r="I13" s="1" t="s">
        <v>36</v>
      </c>
      <c r="J13" s="5" t="s">
        <v>35</v>
      </c>
      <c r="K13" s="1"/>
      <c r="L13" s="2"/>
    </row>
    <row r="14" spans="1:13" ht="14.4" customHeight="1" x14ac:dyDescent="0.3">
      <c r="A14" s="1">
        <v>4</v>
      </c>
      <c r="B14" s="1" t="s">
        <v>36</v>
      </c>
      <c r="C14" s="1" t="s">
        <v>35</v>
      </c>
      <c r="D14" s="6"/>
      <c r="E14" s="2"/>
      <c r="H14" s="1">
        <v>4</v>
      </c>
      <c r="I14" s="1" t="s">
        <v>36</v>
      </c>
      <c r="J14" s="5" t="s">
        <v>35</v>
      </c>
      <c r="K14" s="1"/>
      <c r="L14" s="2"/>
    </row>
    <row r="15" spans="1:13" ht="14.4" customHeight="1" x14ac:dyDescent="0.3">
      <c r="A15" s="1">
        <v>5</v>
      </c>
      <c r="B15" s="1" t="s">
        <v>36</v>
      </c>
      <c r="C15" s="1" t="s">
        <v>35</v>
      </c>
      <c r="D15" s="6"/>
      <c r="E15" s="2"/>
      <c r="H15" s="1">
        <v>5</v>
      </c>
      <c r="I15" s="1" t="s">
        <v>36</v>
      </c>
      <c r="J15" s="5" t="s">
        <v>35</v>
      </c>
      <c r="K15" s="1"/>
      <c r="L15" s="2"/>
    </row>
    <row r="16" spans="1:13" ht="14.4" customHeight="1" x14ac:dyDescent="0.3">
      <c r="A16" s="1">
        <v>6</v>
      </c>
      <c r="B16" s="1" t="s">
        <v>36</v>
      </c>
      <c r="C16" s="1" t="s">
        <v>35</v>
      </c>
      <c r="D16" s="1"/>
      <c r="E16" s="2"/>
      <c r="H16" s="1">
        <v>6</v>
      </c>
      <c r="I16" s="1" t="s">
        <v>36</v>
      </c>
      <c r="J16" s="5" t="s">
        <v>35</v>
      </c>
      <c r="K16" s="1"/>
      <c r="L16" s="2"/>
    </row>
    <row r="17" spans="1:12" ht="14.4" customHeight="1" x14ac:dyDescent="0.3">
      <c r="A17" s="1">
        <v>7</v>
      </c>
      <c r="B17" s="1" t="s">
        <v>36</v>
      </c>
      <c r="C17" s="1" t="s">
        <v>35</v>
      </c>
      <c r="D17" s="1"/>
      <c r="E17" s="2"/>
      <c r="H17" s="1">
        <v>7</v>
      </c>
      <c r="I17" s="1" t="s">
        <v>36</v>
      </c>
      <c r="J17" s="5" t="s">
        <v>35</v>
      </c>
      <c r="K17" s="1"/>
      <c r="L17" s="2"/>
    </row>
    <row r="18" spans="1:12" ht="14.4" customHeight="1" x14ac:dyDescent="0.3">
      <c r="A18" s="1">
        <v>8</v>
      </c>
      <c r="B18" s="1" t="s">
        <v>36</v>
      </c>
      <c r="C18" s="1" t="s">
        <v>35</v>
      </c>
      <c r="D18" s="1"/>
      <c r="E18" s="2"/>
      <c r="H18" s="1">
        <v>8</v>
      </c>
      <c r="I18" s="1" t="s">
        <v>36</v>
      </c>
      <c r="J18" s="5" t="s">
        <v>35</v>
      </c>
      <c r="K18" s="1"/>
      <c r="L18" s="2"/>
    </row>
    <row r="19" spans="1:12" ht="14.4" customHeight="1" x14ac:dyDescent="0.3">
      <c r="A19" s="1">
        <v>9</v>
      </c>
      <c r="B19" s="1" t="s">
        <v>36</v>
      </c>
      <c r="C19" s="1" t="s">
        <v>35</v>
      </c>
      <c r="D19" s="1"/>
      <c r="E19" s="2"/>
      <c r="H19" s="1">
        <v>9</v>
      </c>
      <c r="I19" s="1" t="s">
        <v>36</v>
      </c>
      <c r="J19" s="5" t="s">
        <v>35</v>
      </c>
      <c r="K19" s="1"/>
      <c r="L19" s="2"/>
    </row>
    <row r="20" spans="1:12" ht="14.4" customHeight="1" x14ac:dyDescent="0.3">
      <c r="A20" s="1">
        <v>10</v>
      </c>
      <c r="B20" s="1" t="s">
        <v>36</v>
      </c>
      <c r="C20" s="1" t="s">
        <v>35</v>
      </c>
      <c r="D20" s="1"/>
      <c r="E20" s="2"/>
      <c r="H20" s="1">
        <v>10</v>
      </c>
      <c r="I20" s="1" t="s">
        <v>36</v>
      </c>
      <c r="J20" s="5" t="s">
        <v>35</v>
      </c>
      <c r="K20" s="1"/>
      <c r="L20" s="2"/>
    </row>
    <row r="21" spans="1:12" ht="14.4" customHeight="1" x14ac:dyDescent="0.3">
      <c r="A21" s="1">
        <v>11</v>
      </c>
      <c r="B21" s="1" t="s">
        <v>36</v>
      </c>
      <c r="C21" s="1" t="s">
        <v>35</v>
      </c>
      <c r="D21" s="1"/>
      <c r="E21" s="2"/>
      <c r="H21" s="1">
        <v>11</v>
      </c>
      <c r="I21" s="1" t="s">
        <v>36</v>
      </c>
      <c r="J21" s="5" t="s">
        <v>35</v>
      </c>
      <c r="K21" s="1"/>
      <c r="L21" s="2"/>
    </row>
    <row r="22" spans="1:12" ht="14.4" customHeight="1" x14ac:dyDescent="0.3">
      <c r="A22" s="1">
        <v>12</v>
      </c>
      <c r="B22" s="1" t="s">
        <v>36</v>
      </c>
      <c r="C22" s="1" t="s">
        <v>35</v>
      </c>
      <c r="D22" s="1"/>
      <c r="E22" s="2"/>
      <c r="H22" s="1">
        <v>12</v>
      </c>
      <c r="I22" s="1" t="s">
        <v>36</v>
      </c>
      <c r="J22" s="5" t="s">
        <v>35</v>
      </c>
      <c r="K22" s="1"/>
      <c r="L22" s="2"/>
    </row>
    <row r="23" spans="1:12" ht="14.4" customHeight="1" x14ac:dyDescent="0.3">
      <c r="A23" s="1">
        <v>13</v>
      </c>
      <c r="B23" s="1" t="s">
        <v>36</v>
      </c>
      <c r="C23" s="1" t="s">
        <v>35</v>
      </c>
      <c r="D23" s="1"/>
      <c r="E23" s="2"/>
      <c r="H23" s="1">
        <v>13</v>
      </c>
      <c r="I23" s="1" t="s">
        <v>36</v>
      </c>
      <c r="J23" s="5" t="s">
        <v>35</v>
      </c>
      <c r="K23" s="1"/>
      <c r="L23" s="2"/>
    </row>
    <row r="24" spans="1:12" ht="14.4" customHeight="1" x14ac:dyDescent="0.3">
      <c r="A24" s="1">
        <v>14</v>
      </c>
      <c r="B24" s="1" t="s">
        <v>36</v>
      </c>
      <c r="C24" s="1" t="s">
        <v>35</v>
      </c>
      <c r="D24" s="1"/>
      <c r="E24" s="2"/>
      <c r="H24" s="1">
        <v>14</v>
      </c>
      <c r="I24" s="1" t="s">
        <v>36</v>
      </c>
      <c r="J24" s="5" t="s">
        <v>35</v>
      </c>
      <c r="K24" s="1"/>
      <c r="L24" s="2"/>
    </row>
    <row r="25" spans="1:12" ht="14.4" customHeight="1" x14ac:dyDescent="0.3">
      <c r="A25" s="1">
        <v>15</v>
      </c>
      <c r="B25" s="1" t="s">
        <v>36</v>
      </c>
      <c r="C25" s="1" t="s">
        <v>35</v>
      </c>
      <c r="D25" s="1"/>
      <c r="E25" s="2"/>
      <c r="H25" s="1">
        <v>15</v>
      </c>
      <c r="I25" s="1" t="s">
        <v>36</v>
      </c>
      <c r="J25" s="5" t="s">
        <v>35</v>
      </c>
      <c r="K25" s="1"/>
      <c r="L25" s="2"/>
    </row>
    <row r="26" spans="1:12" ht="14.4" customHeight="1" x14ac:dyDescent="0.3">
      <c r="A26" s="1">
        <v>16</v>
      </c>
      <c r="B26" s="1" t="s">
        <v>36</v>
      </c>
      <c r="C26" s="1" t="s">
        <v>35</v>
      </c>
      <c r="D26" s="1"/>
      <c r="E26" s="2"/>
      <c r="H26" s="1">
        <v>16</v>
      </c>
      <c r="I26" s="1" t="s">
        <v>36</v>
      </c>
      <c r="J26" s="5" t="s">
        <v>35</v>
      </c>
      <c r="K26" s="1"/>
      <c r="L26" s="2"/>
    </row>
    <row r="27" spans="1:12" ht="14.4" customHeight="1" x14ac:dyDescent="0.3">
      <c r="A27" s="1">
        <v>17</v>
      </c>
      <c r="B27" s="1" t="s">
        <v>36</v>
      </c>
      <c r="C27" s="1" t="s">
        <v>35</v>
      </c>
      <c r="D27" s="1"/>
      <c r="E27" s="2"/>
      <c r="H27" s="1">
        <v>17</v>
      </c>
      <c r="I27" s="1" t="s">
        <v>36</v>
      </c>
      <c r="J27" s="5" t="s">
        <v>35</v>
      </c>
      <c r="K27" s="1"/>
      <c r="L27" s="2"/>
    </row>
    <row r="28" spans="1:12" ht="14.4" customHeight="1" x14ac:dyDescent="0.3">
      <c r="A28" s="1">
        <v>18</v>
      </c>
      <c r="B28" s="1" t="s">
        <v>36</v>
      </c>
      <c r="C28" s="1" t="s">
        <v>35</v>
      </c>
      <c r="D28" s="1"/>
      <c r="E28" s="2"/>
      <c r="H28" s="1">
        <v>18</v>
      </c>
      <c r="I28" s="1" t="s">
        <v>36</v>
      </c>
      <c r="J28" s="5" t="s">
        <v>35</v>
      </c>
      <c r="K28" s="1"/>
      <c r="L28" s="2"/>
    </row>
    <row r="29" spans="1:12" ht="14.4" customHeight="1" x14ac:dyDescent="0.3">
      <c r="A29" s="1">
        <v>19</v>
      </c>
      <c r="B29" s="1" t="s">
        <v>36</v>
      </c>
      <c r="C29" s="1" t="s">
        <v>35</v>
      </c>
      <c r="D29" s="1"/>
      <c r="E29" s="2"/>
      <c r="H29" s="1">
        <v>19</v>
      </c>
      <c r="I29" s="1" t="s">
        <v>36</v>
      </c>
      <c r="J29" s="5" t="s">
        <v>35</v>
      </c>
      <c r="K29" s="1"/>
      <c r="L29" s="2"/>
    </row>
    <row r="30" spans="1:12" ht="14.4" customHeight="1" x14ac:dyDescent="0.3">
      <c r="A30" s="1">
        <v>20</v>
      </c>
      <c r="B30" s="1" t="s">
        <v>36</v>
      </c>
      <c r="C30" s="1" t="s">
        <v>35</v>
      </c>
      <c r="D30" s="1"/>
      <c r="E30" s="2"/>
      <c r="H30" s="1">
        <v>20</v>
      </c>
      <c r="I30" s="1" t="s">
        <v>36</v>
      </c>
      <c r="J30" s="5" t="s">
        <v>35</v>
      </c>
      <c r="K30" s="1"/>
      <c r="L30" s="2"/>
    </row>
    <row r="31" spans="1:12" ht="14.4" customHeight="1" x14ac:dyDescent="0.3">
      <c r="A31" s="1">
        <v>21</v>
      </c>
      <c r="B31" s="1" t="s">
        <v>36</v>
      </c>
      <c r="C31" s="1" t="s">
        <v>35</v>
      </c>
      <c r="D31" s="1"/>
      <c r="E31" s="2"/>
      <c r="H31" s="1">
        <v>21</v>
      </c>
      <c r="I31" s="1" t="s">
        <v>36</v>
      </c>
      <c r="J31" s="5" t="s">
        <v>35</v>
      </c>
      <c r="K31" s="1"/>
      <c r="L31" s="2"/>
    </row>
    <row r="32" spans="1:12" ht="14.4" customHeight="1" x14ac:dyDescent="0.3">
      <c r="A32" s="1">
        <v>22</v>
      </c>
      <c r="B32" s="1" t="s">
        <v>36</v>
      </c>
      <c r="C32" s="1" t="s">
        <v>35</v>
      </c>
      <c r="D32" s="1"/>
      <c r="E32" s="2"/>
      <c r="H32" s="1">
        <v>22</v>
      </c>
      <c r="I32" s="1" t="s">
        <v>36</v>
      </c>
      <c r="J32" s="5" t="s">
        <v>35</v>
      </c>
      <c r="K32" s="1"/>
      <c r="L32" s="2"/>
    </row>
    <row r="33" spans="1:12" ht="14.4" customHeight="1" x14ac:dyDescent="0.3">
      <c r="A33" s="1">
        <v>23</v>
      </c>
      <c r="B33" s="1" t="s">
        <v>36</v>
      </c>
      <c r="C33" s="1" t="s">
        <v>35</v>
      </c>
      <c r="D33" s="1"/>
      <c r="E33" s="2"/>
      <c r="H33" s="1">
        <v>23</v>
      </c>
      <c r="I33" s="1" t="s">
        <v>36</v>
      </c>
      <c r="J33" s="5" t="s">
        <v>35</v>
      </c>
      <c r="K33" s="1"/>
      <c r="L33" s="2"/>
    </row>
    <row r="34" spans="1:12" ht="14.4" customHeight="1" x14ac:dyDescent="0.3">
      <c r="A34" s="1">
        <v>24</v>
      </c>
      <c r="B34" s="1" t="s">
        <v>36</v>
      </c>
      <c r="C34" s="1" t="s">
        <v>35</v>
      </c>
      <c r="D34" s="1"/>
      <c r="E34" s="2"/>
      <c r="H34" s="1">
        <v>24</v>
      </c>
      <c r="I34" s="1" t="s">
        <v>36</v>
      </c>
      <c r="J34" s="5" t="s">
        <v>35</v>
      </c>
      <c r="K34" s="1"/>
      <c r="L34" s="2"/>
    </row>
    <row r="35" spans="1:12" ht="14.4" customHeight="1" x14ac:dyDescent="0.3">
      <c r="A35" s="1">
        <v>25</v>
      </c>
      <c r="B35" s="1" t="s">
        <v>36</v>
      </c>
      <c r="C35" s="1" t="s">
        <v>35</v>
      </c>
      <c r="D35" s="1"/>
      <c r="E35" s="2"/>
      <c r="H35" s="1">
        <v>25</v>
      </c>
      <c r="I35" s="1" t="s">
        <v>36</v>
      </c>
      <c r="J35" s="5" t="s">
        <v>35</v>
      </c>
      <c r="K35" s="1"/>
      <c r="L35" s="2"/>
    </row>
    <row r="36" spans="1:12" ht="14.4" customHeight="1" x14ac:dyDescent="0.3">
      <c r="A36" s="1">
        <v>26</v>
      </c>
      <c r="B36" s="1" t="s">
        <v>36</v>
      </c>
      <c r="C36" s="1" t="s">
        <v>35</v>
      </c>
      <c r="D36" s="1"/>
      <c r="E36" s="2"/>
      <c r="H36" s="1">
        <v>26</v>
      </c>
      <c r="I36" s="1" t="s">
        <v>36</v>
      </c>
      <c r="J36" s="5" t="s">
        <v>35</v>
      </c>
      <c r="K36" s="1"/>
      <c r="L36" s="2"/>
    </row>
    <row r="37" spans="1:12" ht="14.4" customHeight="1" x14ac:dyDescent="0.3">
      <c r="A37" s="1">
        <v>27</v>
      </c>
      <c r="B37" s="1" t="s">
        <v>36</v>
      </c>
      <c r="C37" s="1" t="s">
        <v>35</v>
      </c>
      <c r="D37" s="1"/>
      <c r="E37" s="2"/>
      <c r="H37" s="1">
        <v>27</v>
      </c>
      <c r="I37" s="1" t="s">
        <v>36</v>
      </c>
      <c r="J37" s="5" t="s">
        <v>35</v>
      </c>
      <c r="K37" s="1"/>
      <c r="L37" s="2"/>
    </row>
    <row r="38" spans="1:12" ht="14.4" customHeight="1" x14ac:dyDescent="0.3">
      <c r="A38" s="1">
        <v>28</v>
      </c>
      <c r="B38" s="1" t="s">
        <v>36</v>
      </c>
      <c r="C38" s="1" t="s">
        <v>35</v>
      </c>
      <c r="D38" s="1"/>
      <c r="E38" s="2"/>
      <c r="H38" s="1">
        <v>28</v>
      </c>
      <c r="I38" s="1" t="s">
        <v>36</v>
      </c>
      <c r="J38" s="5" t="s">
        <v>35</v>
      </c>
      <c r="K38" s="1"/>
      <c r="L38" s="2"/>
    </row>
    <row r="39" spans="1:12" ht="14.4" customHeight="1" x14ac:dyDescent="0.3">
      <c r="A39" s="1">
        <v>29</v>
      </c>
      <c r="B39" s="1" t="s">
        <v>36</v>
      </c>
      <c r="C39" s="1" t="s">
        <v>35</v>
      </c>
      <c r="D39" s="1"/>
      <c r="E39" s="2"/>
      <c r="H39" s="1">
        <v>29</v>
      </c>
      <c r="I39" s="1" t="s">
        <v>36</v>
      </c>
      <c r="J39" s="5" t="s">
        <v>35</v>
      </c>
      <c r="K39" s="1"/>
      <c r="L39" s="2"/>
    </row>
    <row r="40" spans="1:12" ht="14.4" customHeight="1" x14ac:dyDescent="0.3">
      <c r="A40" s="1">
        <v>30</v>
      </c>
      <c r="B40" s="1" t="s">
        <v>36</v>
      </c>
      <c r="C40" s="1" t="s">
        <v>35</v>
      </c>
      <c r="D40" s="1"/>
      <c r="E40" s="2"/>
      <c r="H40" s="1">
        <v>30</v>
      </c>
      <c r="I40" s="1" t="s">
        <v>36</v>
      </c>
      <c r="J40" s="5" t="s">
        <v>35</v>
      </c>
      <c r="K40" s="1"/>
      <c r="L40" s="2"/>
    </row>
    <row r="41" spans="1:12" ht="14.4" customHeight="1" x14ac:dyDescent="0.3">
      <c r="A41" s="1">
        <v>31</v>
      </c>
      <c r="B41" s="1" t="s">
        <v>36</v>
      </c>
      <c r="C41" s="1" t="s">
        <v>35</v>
      </c>
      <c r="D41" s="1"/>
      <c r="E41" s="2"/>
      <c r="H41" s="1">
        <v>31</v>
      </c>
      <c r="I41" s="1" t="s">
        <v>36</v>
      </c>
      <c r="J41" s="5" t="s">
        <v>35</v>
      </c>
      <c r="K41" s="1"/>
      <c r="L41" s="2"/>
    </row>
    <row r="42" spans="1:12" ht="14.4" customHeight="1" x14ac:dyDescent="0.3">
      <c r="A42" s="1">
        <v>32</v>
      </c>
      <c r="B42" s="1" t="s">
        <v>36</v>
      </c>
      <c r="C42" s="1" t="s">
        <v>35</v>
      </c>
      <c r="D42" s="1"/>
      <c r="E42" s="2"/>
      <c r="H42" s="1">
        <v>32</v>
      </c>
      <c r="I42" s="1" t="s">
        <v>36</v>
      </c>
      <c r="J42" s="5" t="s">
        <v>35</v>
      </c>
      <c r="K42" s="1"/>
      <c r="L42" s="2"/>
    </row>
    <row r="43" spans="1:12" ht="14.4" customHeight="1" x14ac:dyDescent="0.3">
      <c r="A43" s="1">
        <v>33</v>
      </c>
      <c r="B43" s="1" t="s">
        <v>36</v>
      </c>
      <c r="C43" s="1" t="s">
        <v>35</v>
      </c>
      <c r="D43" s="1"/>
      <c r="E43" s="2"/>
      <c r="H43" s="1">
        <v>33</v>
      </c>
      <c r="I43" s="1" t="s">
        <v>36</v>
      </c>
      <c r="J43" s="5" t="s">
        <v>35</v>
      </c>
      <c r="K43" s="1"/>
      <c r="L43" s="2"/>
    </row>
    <row r="44" spans="1:12" ht="14.4" customHeight="1" x14ac:dyDescent="0.3">
      <c r="A44" s="1">
        <v>34</v>
      </c>
      <c r="B44" s="1" t="s">
        <v>36</v>
      </c>
      <c r="C44" s="1" t="s">
        <v>35</v>
      </c>
      <c r="D44" s="1"/>
      <c r="E44" s="2"/>
      <c r="H44" s="1">
        <v>34</v>
      </c>
      <c r="I44" s="1" t="s">
        <v>36</v>
      </c>
      <c r="J44" s="5" t="s">
        <v>35</v>
      </c>
      <c r="K44" s="1"/>
      <c r="L44" s="2"/>
    </row>
    <row r="45" spans="1:12" ht="14.4" customHeight="1" x14ac:dyDescent="0.3">
      <c r="A45" s="1">
        <v>35</v>
      </c>
      <c r="B45" s="1" t="s">
        <v>36</v>
      </c>
      <c r="C45" s="1" t="s">
        <v>35</v>
      </c>
      <c r="D45" s="1"/>
      <c r="E45" s="2"/>
      <c r="H45" s="1">
        <v>35</v>
      </c>
      <c r="I45" s="1" t="s">
        <v>36</v>
      </c>
      <c r="J45" s="5" t="s">
        <v>35</v>
      </c>
      <c r="K45" s="1"/>
      <c r="L45" s="2"/>
    </row>
    <row r="46" spans="1:12" ht="14.4" customHeight="1" x14ac:dyDescent="0.3">
      <c r="A46" s="1">
        <v>36</v>
      </c>
      <c r="B46" s="1" t="s">
        <v>36</v>
      </c>
      <c r="C46" s="1" t="s">
        <v>35</v>
      </c>
      <c r="D46" s="1"/>
      <c r="E46" s="2"/>
      <c r="H46" s="1">
        <v>36</v>
      </c>
      <c r="I46" s="1" t="s">
        <v>36</v>
      </c>
      <c r="J46" s="5" t="s">
        <v>35</v>
      </c>
      <c r="K46" s="1"/>
      <c r="L46" s="2"/>
    </row>
    <row r="47" spans="1:12" ht="14.4" customHeight="1" x14ac:dyDescent="0.3">
      <c r="A47" s="1">
        <v>37</v>
      </c>
      <c r="B47" s="1" t="s">
        <v>36</v>
      </c>
      <c r="C47" s="1" t="s">
        <v>35</v>
      </c>
      <c r="D47" s="1"/>
      <c r="E47" s="2"/>
      <c r="H47" s="1">
        <v>37</v>
      </c>
      <c r="I47" s="1" t="s">
        <v>36</v>
      </c>
      <c r="J47" s="5" t="s">
        <v>35</v>
      </c>
      <c r="K47" s="1"/>
      <c r="L47" s="2"/>
    </row>
    <row r="48" spans="1:12" ht="14.4" customHeight="1" x14ac:dyDescent="0.3">
      <c r="A48" s="1">
        <v>38</v>
      </c>
      <c r="B48" s="1" t="s">
        <v>36</v>
      </c>
      <c r="C48" s="1" t="s">
        <v>35</v>
      </c>
      <c r="D48" s="1"/>
      <c r="E48" s="2"/>
      <c r="H48" s="1">
        <v>38</v>
      </c>
      <c r="I48" s="1" t="s">
        <v>36</v>
      </c>
      <c r="J48" s="5" t="s">
        <v>35</v>
      </c>
      <c r="K48" s="1"/>
      <c r="L48" s="2"/>
    </row>
    <row r="49" spans="1:12" ht="14.4" customHeight="1" x14ac:dyDescent="0.3">
      <c r="A49" s="1">
        <v>39</v>
      </c>
      <c r="B49" s="1" t="s">
        <v>36</v>
      </c>
      <c r="C49" s="1" t="s">
        <v>35</v>
      </c>
      <c r="D49" s="1"/>
      <c r="E49" s="2"/>
      <c r="H49" s="1">
        <v>39</v>
      </c>
      <c r="I49" s="1" t="s">
        <v>36</v>
      </c>
      <c r="J49" s="5" t="s">
        <v>35</v>
      </c>
      <c r="K49" s="1"/>
      <c r="L49" s="2"/>
    </row>
    <row r="50" spans="1:12" ht="14.4" customHeight="1" x14ac:dyDescent="0.3">
      <c r="A50" s="1">
        <v>40</v>
      </c>
      <c r="B50" s="1" t="s">
        <v>36</v>
      </c>
      <c r="C50" s="1" t="s">
        <v>35</v>
      </c>
      <c r="D50" s="1"/>
      <c r="E50" s="2"/>
      <c r="H50" s="1">
        <v>40</v>
      </c>
      <c r="I50" s="1" t="s">
        <v>36</v>
      </c>
      <c r="J50" s="5" t="s">
        <v>35</v>
      </c>
      <c r="K50" s="1"/>
      <c r="L50" s="2"/>
    </row>
    <row r="51" spans="1:12" ht="14.4" customHeight="1" x14ac:dyDescent="0.3">
      <c r="A51" s="1">
        <v>41</v>
      </c>
      <c r="B51" s="1" t="s">
        <v>36</v>
      </c>
      <c r="C51" s="1" t="s">
        <v>35</v>
      </c>
      <c r="D51" s="1"/>
      <c r="E51" s="2"/>
      <c r="H51" s="1">
        <v>41</v>
      </c>
      <c r="I51" s="1" t="s">
        <v>36</v>
      </c>
      <c r="J51" s="5" t="s">
        <v>35</v>
      </c>
      <c r="K51" s="1"/>
      <c r="L51" s="2"/>
    </row>
    <row r="52" spans="1:12" ht="14.4" customHeight="1" x14ac:dyDescent="0.3">
      <c r="A52" s="1">
        <v>42</v>
      </c>
      <c r="B52" s="1" t="s">
        <v>36</v>
      </c>
      <c r="C52" s="1" t="s">
        <v>35</v>
      </c>
      <c r="D52" s="1"/>
      <c r="E52" s="2"/>
      <c r="H52" s="1">
        <v>42</v>
      </c>
      <c r="I52" s="1" t="s">
        <v>36</v>
      </c>
      <c r="J52" s="5" t="s">
        <v>35</v>
      </c>
      <c r="K52" s="1"/>
      <c r="L52" s="2"/>
    </row>
    <row r="53" spans="1:12" ht="14.4" customHeight="1" x14ac:dyDescent="0.3">
      <c r="A53" s="1">
        <v>43</v>
      </c>
      <c r="B53" s="1" t="s">
        <v>36</v>
      </c>
      <c r="C53" s="1" t="s">
        <v>35</v>
      </c>
      <c r="D53" s="1"/>
      <c r="E53" s="2"/>
      <c r="H53" s="1">
        <v>43</v>
      </c>
      <c r="I53" s="1" t="s">
        <v>36</v>
      </c>
      <c r="J53" s="5" t="s">
        <v>35</v>
      </c>
      <c r="K53" s="1"/>
      <c r="L53" s="2"/>
    </row>
    <row r="54" spans="1:12" ht="14.4" customHeight="1" x14ac:dyDescent="0.3">
      <c r="A54" s="1">
        <v>44</v>
      </c>
      <c r="B54" s="1" t="s">
        <v>36</v>
      </c>
      <c r="C54" s="1" t="s">
        <v>35</v>
      </c>
      <c r="D54" s="1"/>
      <c r="E54" s="2"/>
      <c r="H54" s="1">
        <v>44</v>
      </c>
      <c r="I54" s="1" t="s">
        <v>36</v>
      </c>
      <c r="J54" s="5" t="s">
        <v>35</v>
      </c>
      <c r="K54" s="1"/>
      <c r="L54" s="2"/>
    </row>
    <row r="55" spans="1:12" ht="14.4" customHeight="1" x14ac:dyDescent="0.3">
      <c r="A55" s="1">
        <v>45</v>
      </c>
      <c r="B55" s="1" t="s">
        <v>36</v>
      </c>
      <c r="C55" s="1" t="s">
        <v>35</v>
      </c>
      <c r="D55" s="1"/>
      <c r="E55" s="2"/>
      <c r="H55" s="1">
        <v>45</v>
      </c>
      <c r="I55" s="1" t="s">
        <v>36</v>
      </c>
      <c r="J55" s="5" t="s">
        <v>35</v>
      </c>
      <c r="K55" s="1"/>
      <c r="L55" s="2"/>
    </row>
    <row r="56" spans="1:12" ht="14.4" customHeight="1" x14ac:dyDescent="0.3">
      <c r="A56" s="1">
        <v>46</v>
      </c>
      <c r="B56" s="1" t="s">
        <v>36</v>
      </c>
      <c r="C56" s="1" t="s">
        <v>35</v>
      </c>
      <c r="D56" s="1"/>
      <c r="E56" s="2"/>
      <c r="H56" s="1">
        <v>46</v>
      </c>
      <c r="I56" s="1" t="s">
        <v>36</v>
      </c>
      <c r="J56" s="5" t="s">
        <v>35</v>
      </c>
      <c r="K56" s="1"/>
      <c r="L56" s="2"/>
    </row>
    <row r="57" spans="1:12" ht="14.4" customHeight="1" x14ac:dyDescent="0.3">
      <c r="A57" s="1">
        <v>47</v>
      </c>
      <c r="B57" s="1" t="s">
        <v>36</v>
      </c>
      <c r="C57" s="1" t="s">
        <v>35</v>
      </c>
      <c r="D57" s="1"/>
      <c r="E57" s="2"/>
      <c r="H57" s="1">
        <v>47</v>
      </c>
      <c r="I57" s="1" t="s">
        <v>36</v>
      </c>
      <c r="J57" s="5" t="s">
        <v>35</v>
      </c>
      <c r="K57" s="1"/>
      <c r="L57" s="2"/>
    </row>
    <row r="58" spans="1:12" ht="14.4" customHeight="1" x14ac:dyDescent="0.3">
      <c r="A58" s="1">
        <v>48</v>
      </c>
      <c r="B58" s="1" t="s">
        <v>36</v>
      </c>
      <c r="C58" s="1" t="s">
        <v>35</v>
      </c>
      <c r="D58" s="1"/>
      <c r="E58" s="2"/>
      <c r="H58" s="1">
        <v>48</v>
      </c>
      <c r="I58" s="1" t="s">
        <v>36</v>
      </c>
      <c r="J58" s="5" t="s">
        <v>35</v>
      </c>
      <c r="K58" s="1"/>
      <c r="L58" s="2"/>
    </row>
    <row r="59" spans="1:12" ht="14.4" customHeight="1" x14ac:dyDescent="0.3">
      <c r="A59" s="1">
        <v>49</v>
      </c>
      <c r="B59" s="1" t="s">
        <v>36</v>
      </c>
      <c r="C59" s="1" t="s">
        <v>35</v>
      </c>
      <c r="D59" s="1"/>
      <c r="E59" s="2"/>
      <c r="H59" s="1">
        <v>49</v>
      </c>
      <c r="I59" s="1" t="s">
        <v>36</v>
      </c>
      <c r="J59" s="5" t="s">
        <v>35</v>
      </c>
      <c r="K59" s="1"/>
      <c r="L59" s="2"/>
    </row>
    <row r="60" spans="1:12" ht="14.4" customHeight="1" x14ac:dyDescent="0.3">
      <c r="A60" s="1">
        <v>50</v>
      </c>
      <c r="B60" s="1" t="s">
        <v>36</v>
      </c>
      <c r="C60" s="1" t="s">
        <v>35</v>
      </c>
      <c r="D60" s="1"/>
      <c r="E60" s="2"/>
      <c r="H60" s="1">
        <v>50</v>
      </c>
      <c r="I60" s="1" t="s">
        <v>36</v>
      </c>
      <c r="J60" s="5" t="s">
        <v>35</v>
      </c>
      <c r="K60" s="1"/>
      <c r="L60" s="2"/>
    </row>
    <row r="61" spans="1:12" ht="14.4" customHeight="1" x14ac:dyDescent="0.3">
      <c r="A61" s="1">
        <v>51</v>
      </c>
      <c r="B61" s="1" t="s">
        <v>36</v>
      </c>
      <c r="C61" s="1" t="s">
        <v>35</v>
      </c>
      <c r="D61" s="1"/>
      <c r="E61" s="2"/>
      <c r="H61" s="1">
        <v>51</v>
      </c>
      <c r="I61" s="1" t="s">
        <v>36</v>
      </c>
      <c r="J61" s="5" t="s">
        <v>35</v>
      </c>
      <c r="K61" s="1"/>
      <c r="L61" s="2"/>
    </row>
    <row r="62" spans="1:12" ht="14.4" customHeight="1" x14ac:dyDescent="0.3">
      <c r="A62" s="1">
        <v>52</v>
      </c>
      <c r="B62" s="1" t="s">
        <v>36</v>
      </c>
      <c r="C62" s="1" t="s">
        <v>35</v>
      </c>
      <c r="D62" s="1"/>
      <c r="E62" s="2"/>
      <c r="H62" s="1">
        <v>52</v>
      </c>
      <c r="I62" s="1" t="s">
        <v>36</v>
      </c>
      <c r="J62" s="5" t="s">
        <v>35</v>
      </c>
      <c r="K62" s="1"/>
      <c r="L62" s="2"/>
    </row>
    <row r="63" spans="1:12" ht="14.4" customHeight="1" x14ac:dyDescent="0.3">
      <c r="A63" s="1">
        <v>53</v>
      </c>
      <c r="B63" s="1" t="s">
        <v>36</v>
      </c>
      <c r="C63" s="1" t="s">
        <v>35</v>
      </c>
      <c r="D63" s="1"/>
      <c r="E63" s="2"/>
      <c r="H63" s="1">
        <v>53</v>
      </c>
      <c r="I63" s="1" t="s">
        <v>36</v>
      </c>
      <c r="J63" s="5" t="s">
        <v>35</v>
      </c>
      <c r="K63" s="1"/>
      <c r="L63" s="2"/>
    </row>
    <row r="64" spans="1:12" ht="14.4" customHeight="1" x14ac:dyDescent="0.3">
      <c r="A64" s="1">
        <v>54</v>
      </c>
      <c r="B64" s="1" t="s">
        <v>36</v>
      </c>
      <c r="C64" s="1" t="s">
        <v>35</v>
      </c>
      <c r="D64" s="1"/>
      <c r="E64" s="2"/>
      <c r="H64" s="1">
        <v>54</v>
      </c>
      <c r="I64" s="1" t="s">
        <v>36</v>
      </c>
      <c r="J64" s="5" t="s">
        <v>35</v>
      </c>
      <c r="K64" s="1"/>
      <c r="L64" s="2"/>
    </row>
    <row r="65" spans="1:12" ht="14.4" customHeight="1" x14ac:dyDescent="0.3">
      <c r="A65" s="1">
        <v>55</v>
      </c>
      <c r="B65" s="1" t="s">
        <v>36</v>
      </c>
      <c r="C65" s="1" t="s">
        <v>35</v>
      </c>
      <c r="D65" s="1"/>
      <c r="E65" s="2"/>
      <c r="H65" s="1">
        <v>55</v>
      </c>
      <c r="I65" s="1" t="s">
        <v>36</v>
      </c>
      <c r="J65" s="5" t="s">
        <v>35</v>
      </c>
      <c r="K65" s="1"/>
      <c r="L65" s="2"/>
    </row>
    <row r="66" spans="1:12" ht="14.4" customHeight="1" x14ac:dyDescent="0.3">
      <c r="A66" s="1">
        <v>56</v>
      </c>
      <c r="B66" s="1" t="s">
        <v>36</v>
      </c>
      <c r="C66" s="1" t="s">
        <v>35</v>
      </c>
      <c r="D66" s="1"/>
      <c r="E66" s="2"/>
      <c r="H66" s="1">
        <v>56</v>
      </c>
      <c r="I66" s="1" t="s">
        <v>36</v>
      </c>
      <c r="J66" s="5" t="s">
        <v>35</v>
      </c>
      <c r="K66" s="1"/>
      <c r="L66" s="2"/>
    </row>
    <row r="67" spans="1:12" ht="14.4" customHeight="1" x14ac:dyDescent="0.3">
      <c r="A67" s="1">
        <v>57</v>
      </c>
      <c r="B67" s="1" t="s">
        <v>36</v>
      </c>
      <c r="C67" s="1" t="s">
        <v>35</v>
      </c>
      <c r="D67" s="1"/>
      <c r="E67" s="2"/>
      <c r="H67" s="1">
        <v>57</v>
      </c>
      <c r="I67" s="1" t="s">
        <v>36</v>
      </c>
      <c r="J67" s="5" t="s">
        <v>35</v>
      </c>
      <c r="K67" s="1"/>
      <c r="L67" s="2"/>
    </row>
    <row r="68" spans="1:12" ht="14.4" customHeight="1" x14ac:dyDescent="0.3">
      <c r="A68" s="1">
        <v>58</v>
      </c>
      <c r="B68" s="1" t="s">
        <v>36</v>
      </c>
      <c r="C68" s="1" t="s">
        <v>35</v>
      </c>
      <c r="D68" s="1"/>
      <c r="E68" s="2"/>
      <c r="H68" s="1">
        <v>58</v>
      </c>
      <c r="I68" s="1" t="s">
        <v>36</v>
      </c>
      <c r="J68" s="5" t="s">
        <v>35</v>
      </c>
      <c r="K68" s="1"/>
      <c r="L68" s="2"/>
    </row>
    <row r="69" spans="1:12" ht="14.4" customHeight="1" x14ac:dyDescent="0.3">
      <c r="A69" s="1">
        <v>59</v>
      </c>
      <c r="B69" s="1" t="s">
        <v>36</v>
      </c>
      <c r="C69" s="1" t="s">
        <v>35</v>
      </c>
      <c r="D69" s="1"/>
      <c r="E69" s="2"/>
      <c r="H69" s="1">
        <v>59</v>
      </c>
      <c r="I69" s="1" t="s">
        <v>36</v>
      </c>
      <c r="J69" s="5" t="s">
        <v>35</v>
      </c>
      <c r="K69" s="1"/>
      <c r="L69" s="2"/>
    </row>
    <row r="70" spans="1:12" ht="14.4" customHeight="1" x14ac:dyDescent="0.3">
      <c r="A70" s="1">
        <v>60</v>
      </c>
      <c r="B70" s="1" t="s">
        <v>36</v>
      </c>
      <c r="C70" s="1" t="s">
        <v>35</v>
      </c>
      <c r="D70" s="1"/>
      <c r="E70" s="2"/>
      <c r="H70" s="1">
        <v>60</v>
      </c>
      <c r="I70" s="1" t="s">
        <v>36</v>
      </c>
      <c r="J70" s="5" t="s">
        <v>35</v>
      </c>
      <c r="K70" s="1"/>
      <c r="L70" s="2"/>
    </row>
  </sheetData>
  <mergeCells count="4">
    <mergeCell ref="A8:F9"/>
    <mergeCell ref="H8:M9"/>
    <mergeCell ref="A5:M6"/>
    <mergeCell ref="A1:M3"/>
  </mergeCells>
  <conditionalFormatting sqref="B11:B70">
    <cfRule type="cellIs" dxfId="22" priority="40" operator="equal">
      <formula>"Makan Siang &amp; Malam"</formula>
    </cfRule>
    <cfRule type="cellIs" dxfId="21" priority="41" operator="equal">
      <formula>"Makan Malam"</formula>
    </cfRule>
    <cfRule type="cellIs" dxfId="20" priority="42" operator="equal">
      <formula>"Makan Siang"</formula>
    </cfRule>
    <cfRule type="cellIs" dxfId="19" priority="43" operator="equal">
      <formula>"Sarapan"</formula>
    </cfRule>
  </conditionalFormatting>
  <conditionalFormatting sqref="I11:I70">
    <cfRule type="cellIs" dxfId="18" priority="32" operator="equal">
      <formula>"Tokopedia"</formula>
    </cfRule>
    <cfRule type="cellIs" dxfId="17" priority="33" operator="equal">
      <formula>"Bluebird"</formula>
    </cfRule>
    <cfRule type="cellIs" dxfId="16" priority="34" operator="equal">
      <formula>"Gojek"</formula>
    </cfRule>
    <cfRule type="cellIs" dxfId="15" priority="35" operator="equal">
      <formula>"Telkomsel"</formula>
    </cfRule>
    <cfRule type="cellIs" dxfId="14" priority="36" operator="equal">
      <formula>"Laundry"</formula>
    </cfRule>
    <cfRule type="cellIs" dxfId="13" priority="37" operator="equal">
      <formula>"Superindo"</formula>
    </cfRule>
    <cfRule type="cellIs" dxfId="12" priority="38" operator="equal">
      <formula>"Indomaret"</formula>
    </cfRule>
    <cfRule type="cellIs" dxfId="11" priority="39" operator="equal">
      <formula>"Alfamart"</formula>
    </cfRule>
  </conditionalFormatting>
  <dataValidations count="3">
    <dataValidation type="list" showInputMessage="1" showErrorMessage="1" sqref="B11:B70" xr:uid="{BDD01BD0-D3BC-4B97-81C7-8467E433B26C}">
      <formula1>"Sarapan, Makan_Siang, Makan_Malam, Makan_Siang_Malam, N_A,"</formula1>
    </dataValidation>
    <dataValidation type="list" allowBlank="1" showInputMessage="1" showErrorMessage="1" sqref="I11:I70" xr:uid="{A83A965F-A041-4081-BD77-1A0EFE2609A7}">
      <formula1>"Alfamart, Indomaret, Superindo, Laundry, Telkomsel, Gojek, Bluebird, Tokopedia, N_A,"</formula1>
    </dataValidation>
    <dataValidation type="list" allowBlank="1" showInputMessage="1" showErrorMessage="1" sqref="C11:C70 J11:J70" xr:uid="{3A9F6705-06C0-4F4A-B872-C0C35E942507}">
      <formula1>INDIRECT(B11)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62E5-0ECF-4CBF-97F9-CE4F4785925A}">
  <dimension ref="A1:L70"/>
  <sheetViews>
    <sheetView zoomScale="70" zoomScaleNormal="70" workbookViewId="0">
      <selection activeCell="A4" sqref="A4"/>
    </sheetView>
  </sheetViews>
  <sheetFormatPr defaultRowHeight="14.4" x14ac:dyDescent="0.3"/>
  <cols>
    <col min="1" max="1" width="5.6640625" customWidth="1"/>
    <col min="2" max="3" width="20.5546875" customWidth="1"/>
    <col min="4" max="6" width="17.5546875" customWidth="1"/>
    <col min="8" max="8" width="5.6640625" customWidth="1"/>
    <col min="9" max="10" width="20.5546875" customWidth="1"/>
    <col min="11" max="12" width="17.5546875" customWidth="1"/>
    <col min="13" max="13" width="8.88671875" customWidth="1"/>
  </cols>
  <sheetData>
    <row r="1" spans="1:12" ht="14.4" customHeight="1" x14ac:dyDescent="0.3">
      <c r="A1" s="36" t="s">
        <v>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4.4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4.4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5" spans="1:12" ht="14.4" customHeight="1" x14ac:dyDescent="0.3">
      <c r="A5" s="37" t="s">
        <v>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ht="14.4" customHeight="1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8" spans="1:12" ht="14.4" customHeight="1" x14ac:dyDescent="0.3">
      <c r="A8" s="20" t="s">
        <v>19</v>
      </c>
      <c r="B8" s="20"/>
      <c r="C8" s="20"/>
      <c r="D8" s="20"/>
      <c r="E8" s="20"/>
      <c r="F8" s="20"/>
      <c r="H8" s="20" t="s">
        <v>5</v>
      </c>
      <c r="I8" s="20"/>
      <c r="J8" s="20"/>
      <c r="K8" s="20"/>
      <c r="L8" s="20"/>
    </row>
    <row r="9" spans="1:12" ht="14.4" customHeight="1" x14ac:dyDescent="0.3">
      <c r="A9" s="20"/>
      <c r="B9" s="20"/>
      <c r="C9" s="20"/>
      <c r="D9" s="20"/>
      <c r="E9" s="20"/>
      <c r="F9" s="20"/>
      <c r="H9" s="20"/>
      <c r="I9" s="20"/>
      <c r="J9" s="20"/>
      <c r="K9" s="20"/>
      <c r="L9" s="20"/>
    </row>
    <row r="10" spans="1:12" x14ac:dyDescent="0.3">
      <c r="A10" s="1" t="s">
        <v>0</v>
      </c>
      <c r="B10" s="1" t="s">
        <v>22</v>
      </c>
      <c r="C10" s="1" t="s">
        <v>1</v>
      </c>
      <c r="D10" s="1" t="s">
        <v>2</v>
      </c>
      <c r="E10" s="1" t="s">
        <v>3</v>
      </c>
      <c r="F10" s="1" t="s">
        <v>4</v>
      </c>
      <c r="H10" s="13" t="s">
        <v>0</v>
      </c>
      <c r="I10" s="13" t="s">
        <v>22</v>
      </c>
      <c r="J10" s="13" t="s">
        <v>2</v>
      </c>
      <c r="K10" s="13" t="s">
        <v>3</v>
      </c>
      <c r="L10" s="13" t="s">
        <v>4</v>
      </c>
    </row>
    <row r="11" spans="1:12" x14ac:dyDescent="0.3">
      <c r="A11" s="1">
        <v>1</v>
      </c>
      <c r="B11" s="1" t="s">
        <v>36</v>
      </c>
      <c r="C11" s="1" t="s">
        <v>35</v>
      </c>
      <c r="D11" s="1"/>
      <c r="E11" s="3"/>
      <c r="F11" s="3">
        <f>SUM(E11:E70)</f>
        <v>0</v>
      </c>
      <c r="H11" s="1">
        <v>1</v>
      </c>
      <c r="I11" s="1" t="s">
        <v>36</v>
      </c>
      <c r="J11" s="1"/>
      <c r="K11" s="3"/>
      <c r="L11" s="3">
        <f>SUM(K11:K70)</f>
        <v>0</v>
      </c>
    </row>
    <row r="12" spans="1:12" x14ac:dyDescent="0.3">
      <c r="A12" s="1">
        <v>2</v>
      </c>
      <c r="B12" s="1" t="s">
        <v>36</v>
      </c>
      <c r="C12" s="1" t="s">
        <v>35</v>
      </c>
      <c r="D12" s="1"/>
      <c r="E12" s="3"/>
      <c r="H12" s="1">
        <v>2</v>
      </c>
      <c r="I12" s="1" t="s">
        <v>36</v>
      </c>
      <c r="J12" s="1"/>
      <c r="K12" s="3"/>
    </row>
    <row r="13" spans="1:12" x14ac:dyDescent="0.3">
      <c r="A13" s="1">
        <v>3</v>
      </c>
      <c r="B13" s="1" t="s">
        <v>36</v>
      </c>
      <c r="C13" s="1" t="s">
        <v>35</v>
      </c>
      <c r="D13" s="1"/>
      <c r="E13" s="3"/>
      <c r="H13" s="1">
        <v>3</v>
      </c>
      <c r="I13" s="1" t="s">
        <v>36</v>
      </c>
      <c r="J13" s="1"/>
      <c r="K13" s="3"/>
    </row>
    <row r="14" spans="1:12" x14ac:dyDescent="0.3">
      <c r="A14" s="1">
        <v>4</v>
      </c>
      <c r="B14" s="1" t="s">
        <v>36</v>
      </c>
      <c r="C14" s="1" t="s">
        <v>35</v>
      </c>
      <c r="D14" s="1"/>
      <c r="E14" s="3"/>
      <c r="H14" s="1">
        <v>4</v>
      </c>
      <c r="I14" s="1" t="s">
        <v>36</v>
      </c>
      <c r="J14" s="1"/>
      <c r="K14" s="3"/>
    </row>
    <row r="15" spans="1:12" x14ac:dyDescent="0.3">
      <c r="A15" s="1">
        <v>5</v>
      </c>
      <c r="B15" s="1" t="s">
        <v>36</v>
      </c>
      <c r="C15" s="1" t="s">
        <v>35</v>
      </c>
      <c r="D15" s="1"/>
      <c r="E15" s="3"/>
      <c r="H15" s="1">
        <v>5</v>
      </c>
      <c r="I15" s="1" t="s">
        <v>36</v>
      </c>
      <c r="J15" s="1"/>
      <c r="K15" s="3"/>
    </row>
    <row r="16" spans="1:12" x14ac:dyDescent="0.3">
      <c r="A16" s="1">
        <v>6</v>
      </c>
      <c r="B16" s="1" t="s">
        <v>36</v>
      </c>
      <c r="C16" s="1" t="s">
        <v>35</v>
      </c>
      <c r="D16" s="1"/>
      <c r="E16" s="3"/>
      <c r="H16" s="1">
        <v>6</v>
      </c>
      <c r="I16" s="1" t="s">
        <v>36</v>
      </c>
      <c r="J16" s="1"/>
      <c r="K16" s="3"/>
    </row>
    <row r="17" spans="1:11" x14ac:dyDescent="0.3">
      <c r="A17" s="1">
        <v>7</v>
      </c>
      <c r="B17" s="1" t="s">
        <v>36</v>
      </c>
      <c r="C17" s="1" t="s">
        <v>35</v>
      </c>
      <c r="D17" s="1"/>
      <c r="E17" s="3"/>
      <c r="H17" s="1">
        <v>7</v>
      </c>
      <c r="I17" s="1" t="s">
        <v>36</v>
      </c>
      <c r="J17" s="1"/>
      <c r="K17" s="3"/>
    </row>
    <row r="18" spans="1:11" x14ac:dyDescent="0.3">
      <c r="A18" s="1">
        <v>8</v>
      </c>
      <c r="B18" s="1" t="s">
        <v>36</v>
      </c>
      <c r="C18" s="1" t="s">
        <v>35</v>
      </c>
      <c r="D18" s="1"/>
      <c r="E18" s="3"/>
      <c r="H18" s="1">
        <v>8</v>
      </c>
      <c r="I18" s="1" t="s">
        <v>36</v>
      </c>
      <c r="J18" s="1"/>
      <c r="K18" s="3"/>
    </row>
    <row r="19" spans="1:11" x14ac:dyDescent="0.3">
      <c r="A19" s="1">
        <v>9</v>
      </c>
      <c r="B19" s="1" t="s">
        <v>36</v>
      </c>
      <c r="C19" s="1" t="s">
        <v>35</v>
      </c>
      <c r="D19" s="1"/>
      <c r="E19" s="3"/>
      <c r="H19" s="1">
        <v>9</v>
      </c>
      <c r="I19" s="1" t="s">
        <v>36</v>
      </c>
      <c r="J19" s="1"/>
      <c r="K19" s="3"/>
    </row>
    <row r="20" spans="1:11" x14ac:dyDescent="0.3">
      <c r="A20" s="1">
        <v>10</v>
      </c>
      <c r="B20" s="1" t="s">
        <v>36</v>
      </c>
      <c r="C20" s="1" t="s">
        <v>35</v>
      </c>
      <c r="D20" s="1"/>
      <c r="E20" s="3"/>
      <c r="H20" s="1">
        <v>10</v>
      </c>
      <c r="I20" s="1" t="s">
        <v>36</v>
      </c>
      <c r="J20" s="1"/>
      <c r="K20" s="3"/>
    </row>
    <row r="21" spans="1:11" x14ac:dyDescent="0.3">
      <c r="A21" s="1">
        <v>11</v>
      </c>
      <c r="B21" s="1" t="s">
        <v>36</v>
      </c>
      <c r="C21" s="1" t="s">
        <v>35</v>
      </c>
      <c r="D21" s="1"/>
      <c r="E21" s="3"/>
      <c r="H21" s="1">
        <v>11</v>
      </c>
      <c r="I21" s="1" t="s">
        <v>36</v>
      </c>
      <c r="J21" s="1"/>
      <c r="K21" s="3"/>
    </row>
    <row r="22" spans="1:11" x14ac:dyDescent="0.3">
      <c r="A22" s="1">
        <v>12</v>
      </c>
      <c r="B22" s="1" t="s">
        <v>36</v>
      </c>
      <c r="C22" s="1" t="s">
        <v>35</v>
      </c>
      <c r="D22" s="1"/>
      <c r="E22" s="3"/>
      <c r="H22" s="1">
        <v>12</v>
      </c>
      <c r="I22" s="1" t="s">
        <v>36</v>
      </c>
      <c r="J22" s="1"/>
      <c r="K22" s="3"/>
    </row>
    <row r="23" spans="1:11" x14ac:dyDescent="0.3">
      <c r="A23" s="1">
        <v>13</v>
      </c>
      <c r="B23" s="1" t="s">
        <v>36</v>
      </c>
      <c r="C23" s="1" t="s">
        <v>35</v>
      </c>
      <c r="D23" s="1"/>
      <c r="E23" s="3"/>
      <c r="H23" s="1">
        <v>13</v>
      </c>
      <c r="I23" s="1" t="s">
        <v>36</v>
      </c>
      <c r="J23" s="1"/>
      <c r="K23" s="3"/>
    </row>
    <row r="24" spans="1:11" x14ac:dyDescent="0.3">
      <c r="A24" s="1">
        <v>14</v>
      </c>
      <c r="B24" s="1" t="s">
        <v>36</v>
      </c>
      <c r="C24" s="1" t="s">
        <v>35</v>
      </c>
      <c r="D24" s="1"/>
      <c r="E24" s="3"/>
      <c r="H24" s="1">
        <v>14</v>
      </c>
      <c r="I24" s="1" t="s">
        <v>36</v>
      </c>
      <c r="J24" s="1"/>
      <c r="K24" s="3"/>
    </row>
    <row r="25" spans="1:11" x14ac:dyDescent="0.3">
      <c r="A25" s="1">
        <v>15</v>
      </c>
      <c r="B25" s="1" t="s">
        <v>36</v>
      </c>
      <c r="C25" s="1" t="s">
        <v>35</v>
      </c>
      <c r="D25" s="1"/>
      <c r="E25" s="3"/>
      <c r="H25" s="1">
        <v>15</v>
      </c>
      <c r="I25" s="1" t="s">
        <v>36</v>
      </c>
      <c r="J25" s="1"/>
      <c r="K25" s="3"/>
    </row>
    <row r="26" spans="1:11" x14ac:dyDescent="0.3">
      <c r="A26" s="1">
        <v>16</v>
      </c>
      <c r="B26" s="1" t="s">
        <v>36</v>
      </c>
      <c r="C26" s="1" t="s">
        <v>35</v>
      </c>
      <c r="D26" s="1"/>
      <c r="E26" s="3"/>
      <c r="H26" s="1">
        <v>16</v>
      </c>
      <c r="I26" s="1" t="s">
        <v>36</v>
      </c>
      <c r="J26" s="1"/>
      <c r="K26" s="3"/>
    </row>
    <row r="27" spans="1:11" x14ac:dyDescent="0.3">
      <c r="A27" s="1">
        <v>17</v>
      </c>
      <c r="B27" s="1" t="s">
        <v>36</v>
      </c>
      <c r="C27" s="1" t="s">
        <v>35</v>
      </c>
      <c r="D27" s="1"/>
      <c r="E27" s="3"/>
      <c r="H27" s="1">
        <v>17</v>
      </c>
      <c r="I27" s="1" t="s">
        <v>36</v>
      </c>
      <c r="J27" s="1"/>
      <c r="K27" s="3"/>
    </row>
    <row r="28" spans="1:11" x14ac:dyDescent="0.3">
      <c r="A28" s="1">
        <v>18</v>
      </c>
      <c r="B28" s="1" t="s">
        <v>36</v>
      </c>
      <c r="C28" s="1" t="s">
        <v>35</v>
      </c>
      <c r="D28" s="1"/>
      <c r="E28" s="3"/>
      <c r="H28" s="1">
        <v>18</v>
      </c>
      <c r="I28" s="1" t="s">
        <v>36</v>
      </c>
      <c r="J28" s="1"/>
      <c r="K28" s="3"/>
    </row>
    <row r="29" spans="1:11" x14ac:dyDescent="0.3">
      <c r="A29" s="1">
        <v>19</v>
      </c>
      <c r="B29" s="1" t="s">
        <v>36</v>
      </c>
      <c r="C29" s="1" t="s">
        <v>35</v>
      </c>
      <c r="D29" s="1"/>
      <c r="E29" s="3"/>
      <c r="H29" s="1">
        <v>19</v>
      </c>
      <c r="I29" s="1" t="s">
        <v>36</v>
      </c>
      <c r="J29" s="1"/>
      <c r="K29" s="3"/>
    </row>
    <row r="30" spans="1:11" x14ac:dyDescent="0.3">
      <c r="A30" s="1">
        <v>20</v>
      </c>
      <c r="B30" s="1" t="s">
        <v>36</v>
      </c>
      <c r="C30" s="1" t="s">
        <v>35</v>
      </c>
      <c r="D30" s="1"/>
      <c r="E30" s="3"/>
      <c r="H30" s="1">
        <v>20</v>
      </c>
      <c r="I30" s="1" t="s">
        <v>36</v>
      </c>
      <c r="J30" s="1"/>
      <c r="K30" s="3"/>
    </row>
    <row r="31" spans="1:11" x14ac:dyDescent="0.3">
      <c r="A31" s="1">
        <v>21</v>
      </c>
      <c r="B31" s="1" t="s">
        <v>36</v>
      </c>
      <c r="C31" s="1" t="s">
        <v>35</v>
      </c>
      <c r="D31" s="1"/>
      <c r="E31" s="3"/>
      <c r="H31" s="1">
        <v>21</v>
      </c>
      <c r="I31" s="1" t="s">
        <v>36</v>
      </c>
      <c r="J31" s="1"/>
      <c r="K31" s="3"/>
    </row>
    <row r="32" spans="1:11" x14ac:dyDescent="0.3">
      <c r="A32" s="1">
        <v>22</v>
      </c>
      <c r="B32" s="1" t="s">
        <v>36</v>
      </c>
      <c r="C32" s="1" t="s">
        <v>35</v>
      </c>
      <c r="D32" s="1"/>
      <c r="E32" s="3"/>
      <c r="H32" s="1">
        <v>22</v>
      </c>
      <c r="I32" s="1" t="s">
        <v>36</v>
      </c>
      <c r="J32" s="1"/>
      <c r="K32" s="3"/>
    </row>
    <row r="33" spans="1:11" x14ac:dyDescent="0.3">
      <c r="A33" s="1">
        <v>23</v>
      </c>
      <c r="B33" s="1" t="s">
        <v>36</v>
      </c>
      <c r="C33" s="1" t="s">
        <v>35</v>
      </c>
      <c r="D33" s="1"/>
      <c r="E33" s="3"/>
      <c r="H33" s="1">
        <v>23</v>
      </c>
      <c r="I33" s="1" t="s">
        <v>36</v>
      </c>
      <c r="J33" s="1"/>
      <c r="K33" s="3"/>
    </row>
    <row r="34" spans="1:11" x14ac:dyDescent="0.3">
      <c r="A34" s="1">
        <v>24</v>
      </c>
      <c r="B34" s="1" t="s">
        <v>36</v>
      </c>
      <c r="C34" s="1" t="s">
        <v>35</v>
      </c>
      <c r="D34" s="1"/>
      <c r="E34" s="3"/>
      <c r="H34" s="1">
        <v>24</v>
      </c>
      <c r="I34" s="1" t="s">
        <v>36</v>
      </c>
      <c r="J34" s="1"/>
      <c r="K34" s="3"/>
    </row>
    <row r="35" spans="1:11" x14ac:dyDescent="0.3">
      <c r="A35" s="1">
        <v>25</v>
      </c>
      <c r="B35" s="1" t="s">
        <v>36</v>
      </c>
      <c r="C35" s="1" t="s">
        <v>35</v>
      </c>
      <c r="D35" s="1"/>
      <c r="E35" s="3"/>
      <c r="H35" s="1">
        <v>25</v>
      </c>
      <c r="I35" s="1" t="s">
        <v>36</v>
      </c>
      <c r="J35" s="1"/>
      <c r="K35" s="3"/>
    </row>
    <row r="36" spans="1:11" x14ac:dyDescent="0.3">
      <c r="A36" s="1">
        <v>26</v>
      </c>
      <c r="B36" s="1" t="s">
        <v>36</v>
      </c>
      <c r="C36" s="1" t="s">
        <v>35</v>
      </c>
      <c r="D36" s="1"/>
      <c r="E36" s="3"/>
      <c r="H36" s="1">
        <v>26</v>
      </c>
      <c r="I36" s="1" t="s">
        <v>36</v>
      </c>
      <c r="J36" s="1"/>
      <c r="K36" s="3"/>
    </row>
    <row r="37" spans="1:11" x14ac:dyDescent="0.3">
      <c r="A37" s="1">
        <v>27</v>
      </c>
      <c r="B37" s="1" t="s">
        <v>36</v>
      </c>
      <c r="C37" s="1" t="s">
        <v>35</v>
      </c>
      <c r="D37" s="1"/>
      <c r="E37" s="3"/>
      <c r="H37" s="1">
        <v>27</v>
      </c>
      <c r="I37" s="1" t="s">
        <v>36</v>
      </c>
      <c r="J37" s="1"/>
      <c r="K37" s="3"/>
    </row>
    <row r="38" spans="1:11" x14ac:dyDescent="0.3">
      <c r="A38" s="1">
        <v>28</v>
      </c>
      <c r="B38" s="1" t="s">
        <v>36</v>
      </c>
      <c r="C38" s="1" t="s">
        <v>35</v>
      </c>
      <c r="D38" s="1"/>
      <c r="E38" s="3"/>
      <c r="H38" s="1">
        <v>28</v>
      </c>
      <c r="I38" s="1" t="s">
        <v>36</v>
      </c>
      <c r="J38" s="1"/>
      <c r="K38" s="3"/>
    </row>
    <row r="39" spans="1:11" x14ac:dyDescent="0.3">
      <c r="A39" s="1">
        <v>29</v>
      </c>
      <c r="B39" s="1" t="s">
        <v>36</v>
      </c>
      <c r="C39" s="1" t="s">
        <v>35</v>
      </c>
      <c r="D39" s="1"/>
      <c r="E39" s="3"/>
      <c r="H39" s="1">
        <v>29</v>
      </c>
      <c r="I39" s="1" t="s">
        <v>36</v>
      </c>
      <c r="J39" s="1"/>
      <c r="K39" s="3"/>
    </row>
    <row r="40" spans="1:11" x14ac:dyDescent="0.3">
      <c r="A40" s="1">
        <v>30</v>
      </c>
      <c r="B40" s="1" t="s">
        <v>36</v>
      </c>
      <c r="C40" s="1" t="s">
        <v>35</v>
      </c>
      <c r="D40" s="1"/>
      <c r="E40" s="3"/>
      <c r="H40" s="1">
        <v>30</v>
      </c>
      <c r="I40" s="1" t="s">
        <v>36</v>
      </c>
      <c r="J40" s="1"/>
      <c r="K40" s="3"/>
    </row>
    <row r="41" spans="1:11" x14ac:dyDescent="0.3">
      <c r="A41" s="1">
        <v>31</v>
      </c>
      <c r="B41" s="1" t="s">
        <v>36</v>
      </c>
      <c r="C41" s="1" t="s">
        <v>35</v>
      </c>
      <c r="D41" s="1"/>
      <c r="E41" s="3"/>
      <c r="H41" s="1">
        <v>31</v>
      </c>
      <c r="I41" s="1" t="s">
        <v>36</v>
      </c>
      <c r="J41" s="1"/>
      <c r="K41" s="3"/>
    </row>
    <row r="42" spans="1:11" x14ac:dyDescent="0.3">
      <c r="A42" s="1">
        <v>32</v>
      </c>
      <c r="B42" s="1" t="s">
        <v>36</v>
      </c>
      <c r="C42" s="1" t="s">
        <v>35</v>
      </c>
      <c r="D42" s="1"/>
      <c r="E42" s="3"/>
      <c r="H42" s="1">
        <v>32</v>
      </c>
      <c r="I42" s="1" t="s">
        <v>36</v>
      </c>
      <c r="J42" s="1"/>
      <c r="K42" s="3"/>
    </row>
    <row r="43" spans="1:11" x14ac:dyDescent="0.3">
      <c r="A43" s="1">
        <v>33</v>
      </c>
      <c r="B43" s="1" t="s">
        <v>36</v>
      </c>
      <c r="C43" s="1" t="s">
        <v>35</v>
      </c>
      <c r="D43" s="1"/>
      <c r="E43" s="3"/>
      <c r="H43" s="1">
        <v>33</v>
      </c>
      <c r="I43" s="1" t="s">
        <v>36</v>
      </c>
      <c r="J43" s="1"/>
      <c r="K43" s="3"/>
    </row>
    <row r="44" spans="1:11" x14ac:dyDescent="0.3">
      <c r="A44" s="1">
        <v>34</v>
      </c>
      <c r="B44" s="1" t="s">
        <v>36</v>
      </c>
      <c r="C44" s="1" t="s">
        <v>35</v>
      </c>
      <c r="D44" s="1"/>
      <c r="E44" s="3"/>
      <c r="H44" s="1">
        <v>34</v>
      </c>
      <c r="I44" s="1" t="s">
        <v>36</v>
      </c>
      <c r="J44" s="1"/>
      <c r="K44" s="3"/>
    </row>
    <row r="45" spans="1:11" x14ac:dyDescent="0.3">
      <c r="A45" s="1">
        <v>35</v>
      </c>
      <c r="B45" s="1" t="s">
        <v>36</v>
      </c>
      <c r="C45" s="1" t="s">
        <v>35</v>
      </c>
      <c r="D45" s="1"/>
      <c r="E45" s="3"/>
      <c r="H45" s="1">
        <v>35</v>
      </c>
      <c r="I45" s="1" t="s">
        <v>36</v>
      </c>
      <c r="J45" s="1"/>
      <c r="K45" s="3"/>
    </row>
    <row r="46" spans="1:11" x14ac:dyDescent="0.3">
      <c r="A46" s="1">
        <v>36</v>
      </c>
      <c r="B46" s="1" t="s">
        <v>36</v>
      </c>
      <c r="C46" s="1" t="s">
        <v>35</v>
      </c>
      <c r="D46" s="1"/>
      <c r="E46" s="3"/>
      <c r="H46" s="1">
        <v>36</v>
      </c>
      <c r="I46" s="1" t="s">
        <v>36</v>
      </c>
      <c r="J46" s="1"/>
      <c r="K46" s="3"/>
    </row>
    <row r="47" spans="1:11" x14ac:dyDescent="0.3">
      <c r="A47" s="1">
        <v>37</v>
      </c>
      <c r="B47" s="1" t="s">
        <v>36</v>
      </c>
      <c r="C47" s="1" t="s">
        <v>35</v>
      </c>
      <c r="D47" s="1"/>
      <c r="E47" s="3"/>
      <c r="H47" s="1">
        <v>37</v>
      </c>
      <c r="I47" s="1" t="s">
        <v>36</v>
      </c>
      <c r="J47" s="1"/>
      <c r="K47" s="3"/>
    </row>
    <row r="48" spans="1:11" x14ac:dyDescent="0.3">
      <c r="A48" s="1">
        <v>38</v>
      </c>
      <c r="B48" s="1" t="s">
        <v>36</v>
      </c>
      <c r="C48" s="1" t="s">
        <v>35</v>
      </c>
      <c r="D48" s="1"/>
      <c r="E48" s="3"/>
      <c r="H48" s="1">
        <v>38</v>
      </c>
      <c r="I48" s="1" t="s">
        <v>36</v>
      </c>
      <c r="J48" s="1"/>
      <c r="K48" s="3"/>
    </row>
    <row r="49" spans="1:11" x14ac:dyDescent="0.3">
      <c r="A49" s="1">
        <v>39</v>
      </c>
      <c r="B49" s="1" t="s">
        <v>36</v>
      </c>
      <c r="C49" s="1" t="s">
        <v>35</v>
      </c>
      <c r="D49" s="1"/>
      <c r="E49" s="3"/>
      <c r="H49" s="1">
        <v>39</v>
      </c>
      <c r="I49" s="1" t="s">
        <v>36</v>
      </c>
      <c r="J49" s="1"/>
      <c r="K49" s="3"/>
    </row>
    <row r="50" spans="1:11" x14ac:dyDescent="0.3">
      <c r="A50" s="1">
        <v>40</v>
      </c>
      <c r="B50" s="1" t="s">
        <v>36</v>
      </c>
      <c r="C50" s="1" t="s">
        <v>35</v>
      </c>
      <c r="D50" s="1"/>
      <c r="E50" s="3"/>
      <c r="H50" s="1">
        <v>40</v>
      </c>
      <c r="I50" s="1" t="s">
        <v>36</v>
      </c>
      <c r="J50" s="1"/>
      <c r="K50" s="3"/>
    </row>
    <row r="51" spans="1:11" x14ac:dyDescent="0.3">
      <c r="A51" s="1">
        <v>41</v>
      </c>
      <c r="B51" s="1" t="s">
        <v>36</v>
      </c>
      <c r="C51" s="1" t="s">
        <v>35</v>
      </c>
      <c r="D51" s="1"/>
      <c r="E51" s="3"/>
      <c r="H51" s="1">
        <v>41</v>
      </c>
      <c r="I51" s="1" t="s">
        <v>36</v>
      </c>
      <c r="J51" s="1"/>
      <c r="K51" s="3"/>
    </row>
    <row r="52" spans="1:11" x14ac:dyDescent="0.3">
      <c r="A52" s="1">
        <v>42</v>
      </c>
      <c r="B52" s="1" t="s">
        <v>36</v>
      </c>
      <c r="C52" s="1" t="s">
        <v>35</v>
      </c>
      <c r="D52" s="1"/>
      <c r="E52" s="3"/>
      <c r="H52" s="1">
        <v>42</v>
      </c>
      <c r="I52" s="1" t="s">
        <v>36</v>
      </c>
      <c r="J52" s="1"/>
      <c r="K52" s="3"/>
    </row>
    <row r="53" spans="1:11" x14ac:dyDescent="0.3">
      <c r="A53" s="1">
        <v>43</v>
      </c>
      <c r="B53" s="1" t="s">
        <v>36</v>
      </c>
      <c r="C53" s="1" t="s">
        <v>35</v>
      </c>
      <c r="D53" s="1"/>
      <c r="E53" s="3"/>
      <c r="H53" s="1">
        <v>43</v>
      </c>
      <c r="I53" s="1" t="s">
        <v>36</v>
      </c>
      <c r="J53" s="1"/>
      <c r="K53" s="3"/>
    </row>
    <row r="54" spans="1:11" x14ac:dyDescent="0.3">
      <c r="A54" s="1">
        <v>44</v>
      </c>
      <c r="B54" s="1" t="s">
        <v>36</v>
      </c>
      <c r="C54" s="1" t="s">
        <v>35</v>
      </c>
      <c r="D54" s="1"/>
      <c r="E54" s="3"/>
      <c r="H54" s="1">
        <v>44</v>
      </c>
      <c r="I54" s="1" t="s">
        <v>36</v>
      </c>
      <c r="J54" s="1"/>
      <c r="K54" s="3"/>
    </row>
    <row r="55" spans="1:11" x14ac:dyDescent="0.3">
      <c r="A55" s="1">
        <v>45</v>
      </c>
      <c r="B55" s="1" t="s">
        <v>36</v>
      </c>
      <c r="C55" s="1" t="s">
        <v>35</v>
      </c>
      <c r="D55" s="1"/>
      <c r="E55" s="3"/>
      <c r="H55" s="1">
        <v>45</v>
      </c>
      <c r="I55" s="1" t="s">
        <v>36</v>
      </c>
      <c r="J55" s="1"/>
      <c r="K55" s="3"/>
    </row>
    <row r="56" spans="1:11" x14ac:dyDescent="0.3">
      <c r="A56" s="1">
        <v>46</v>
      </c>
      <c r="B56" s="1" t="s">
        <v>36</v>
      </c>
      <c r="C56" s="1" t="s">
        <v>35</v>
      </c>
      <c r="D56" s="1"/>
      <c r="E56" s="3"/>
      <c r="H56" s="1">
        <v>46</v>
      </c>
      <c r="I56" s="1" t="s">
        <v>36</v>
      </c>
      <c r="J56" s="1"/>
      <c r="K56" s="3"/>
    </row>
    <row r="57" spans="1:11" x14ac:dyDescent="0.3">
      <c r="A57" s="1">
        <v>47</v>
      </c>
      <c r="B57" s="1" t="s">
        <v>36</v>
      </c>
      <c r="C57" s="1" t="s">
        <v>35</v>
      </c>
      <c r="D57" s="1"/>
      <c r="E57" s="3"/>
      <c r="H57" s="1">
        <v>47</v>
      </c>
      <c r="I57" s="1" t="s">
        <v>36</v>
      </c>
      <c r="J57" s="1"/>
      <c r="K57" s="3"/>
    </row>
    <row r="58" spans="1:11" x14ac:dyDescent="0.3">
      <c r="A58" s="1">
        <v>48</v>
      </c>
      <c r="B58" s="1" t="s">
        <v>36</v>
      </c>
      <c r="C58" s="1" t="s">
        <v>35</v>
      </c>
      <c r="D58" s="1"/>
      <c r="E58" s="3"/>
      <c r="H58" s="1">
        <v>48</v>
      </c>
      <c r="I58" s="1" t="s">
        <v>36</v>
      </c>
      <c r="J58" s="1"/>
      <c r="K58" s="3"/>
    </row>
    <row r="59" spans="1:11" x14ac:dyDescent="0.3">
      <c r="A59" s="1">
        <v>49</v>
      </c>
      <c r="B59" s="1" t="s">
        <v>36</v>
      </c>
      <c r="C59" s="1" t="s">
        <v>35</v>
      </c>
      <c r="D59" s="1"/>
      <c r="E59" s="3"/>
      <c r="H59" s="1">
        <v>49</v>
      </c>
      <c r="I59" s="1" t="s">
        <v>36</v>
      </c>
      <c r="J59" s="1"/>
      <c r="K59" s="3"/>
    </row>
    <row r="60" spans="1:11" x14ac:dyDescent="0.3">
      <c r="A60" s="1">
        <v>50</v>
      </c>
      <c r="B60" s="1" t="s">
        <v>36</v>
      </c>
      <c r="C60" s="1" t="s">
        <v>35</v>
      </c>
      <c r="D60" s="1"/>
      <c r="E60" s="3"/>
      <c r="H60" s="1">
        <v>50</v>
      </c>
      <c r="I60" s="1" t="s">
        <v>36</v>
      </c>
      <c r="J60" s="1"/>
      <c r="K60" s="3"/>
    </row>
    <row r="61" spans="1:11" x14ac:dyDescent="0.3">
      <c r="A61" s="1">
        <v>51</v>
      </c>
      <c r="B61" s="1" t="s">
        <v>36</v>
      </c>
      <c r="C61" s="1" t="s">
        <v>35</v>
      </c>
      <c r="D61" s="1"/>
      <c r="E61" s="3"/>
      <c r="H61" s="1">
        <v>51</v>
      </c>
      <c r="I61" s="1" t="s">
        <v>36</v>
      </c>
      <c r="J61" s="1"/>
      <c r="K61" s="3"/>
    </row>
    <row r="62" spans="1:11" x14ac:dyDescent="0.3">
      <c r="A62" s="1">
        <v>52</v>
      </c>
      <c r="B62" s="1" t="s">
        <v>36</v>
      </c>
      <c r="C62" s="1" t="s">
        <v>35</v>
      </c>
      <c r="D62" s="1"/>
      <c r="E62" s="3"/>
      <c r="H62" s="1">
        <v>52</v>
      </c>
      <c r="I62" s="1" t="s">
        <v>36</v>
      </c>
      <c r="J62" s="1"/>
      <c r="K62" s="3"/>
    </row>
    <row r="63" spans="1:11" x14ac:dyDescent="0.3">
      <c r="A63" s="1">
        <v>53</v>
      </c>
      <c r="B63" s="1" t="s">
        <v>36</v>
      </c>
      <c r="C63" s="1" t="s">
        <v>35</v>
      </c>
      <c r="D63" s="1"/>
      <c r="E63" s="3"/>
      <c r="H63" s="1">
        <v>53</v>
      </c>
      <c r="I63" s="1" t="s">
        <v>36</v>
      </c>
      <c r="J63" s="1"/>
      <c r="K63" s="3"/>
    </row>
    <row r="64" spans="1:11" x14ac:dyDescent="0.3">
      <c r="A64" s="1">
        <v>54</v>
      </c>
      <c r="B64" s="1" t="s">
        <v>36</v>
      </c>
      <c r="C64" s="1" t="s">
        <v>35</v>
      </c>
      <c r="D64" s="1"/>
      <c r="E64" s="3"/>
      <c r="H64" s="1">
        <v>54</v>
      </c>
      <c r="I64" s="1" t="s">
        <v>36</v>
      </c>
      <c r="J64" s="1"/>
      <c r="K64" s="3"/>
    </row>
    <row r="65" spans="1:11" x14ac:dyDescent="0.3">
      <c r="A65" s="1">
        <v>55</v>
      </c>
      <c r="B65" s="1" t="s">
        <v>36</v>
      </c>
      <c r="C65" s="1" t="s">
        <v>35</v>
      </c>
      <c r="D65" s="1"/>
      <c r="E65" s="3"/>
      <c r="H65" s="1">
        <v>55</v>
      </c>
      <c r="I65" s="1" t="s">
        <v>36</v>
      </c>
      <c r="J65" s="1"/>
      <c r="K65" s="3"/>
    </row>
    <row r="66" spans="1:11" x14ac:dyDescent="0.3">
      <c r="A66" s="1">
        <v>56</v>
      </c>
      <c r="B66" s="1" t="s">
        <v>36</v>
      </c>
      <c r="C66" s="1" t="s">
        <v>35</v>
      </c>
      <c r="D66" s="1"/>
      <c r="E66" s="3"/>
      <c r="H66" s="1">
        <v>56</v>
      </c>
      <c r="I66" s="1" t="s">
        <v>36</v>
      </c>
      <c r="J66" s="1"/>
      <c r="K66" s="3"/>
    </row>
    <row r="67" spans="1:11" x14ac:dyDescent="0.3">
      <c r="A67" s="1">
        <v>57</v>
      </c>
      <c r="B67" s="1" t="s">
        <v>36</v>
      </c>
      <c r="C67" s="1" t="s">
        <v>35</v>
      </c>
      <c r="D67" s="1"/>
      <c r="E67" s="3"/>
      <c r="H67" s="1">
        <v>57</v>
      </c>
      <c r="I67" s="1" t="s">
        <v>36</v>
      </c>
      <c r="J67" s="1"/>
      <c r="K67" s="3"/>
    </row>
    <row r="68" spans="1:11" x14ac:dyDescent="0.3">
      <c r="A68" s="1">
        <v>58</v>
      </c>
      <c r="B68" s="1" t="s">
        <v>36</v>
      </c>
      <c r="C68" s="1" t="s">
        <v>35</v>
      </c>
      <c r="D68" s="1"/>
      <c r="E68" s="3"/>
      <c r="H68" s="1">
        <v>58</v>
      </c>
      <c r="I68" s="1" t="s">
        <v>36</v>
      </c>
      <c r="J68" s="1"/>
      <c r="K68" s="3"/>
    </row>
    <row r="69" spans="1:11" x14ac:dyDescent="0.3">
      <c r="A69" s="1">
        <v>59</v>
      </c>
      <c r="B69" s="1" t="s">
        <v>36</v>
      </c>
      <c r="C69" s="1" t="s">
        <v>35</v>
      </c>
      <c r="D69" s="1"/>
      <c r="E69" s="3"/>
      <c r="H69" s="1">
        <v>59</v>
      </c>
      <c r="I69" s="1" t="s">
        <v>36</v>
      </c>
      <c r="J69" s="1"/>
      <c r="K69" s="3"/>
    </row>
    <row r="70" spans="1:11" x14ac:dyDescent="0.3">
      <c r="A70" s="1">
        <v>60</v>
      </c>
      <c r="B70" s="1" t="s">
        <v>36</v>
      </c>
      <c r="C70" s="1" t="s">
        <v>35</v>
      </c>
      <c r="D70" s="1"/>
      <c r="E70" s="3"/>
      <c r="H70" s="1">
        <v>60</v>
      </c>
      <c r="I70" s="1" t="s">
        <v>36</v>
      </c>
      <c r="J70" s="1"/>
      <c r="K70" s="3"/>
    </row>
  </sheetData>
  <mergeCells count="4">
    <mergeCell ref="A8:F9"/>
    <mergeCell ref="A1:L3"/>
    <mergeCell ref="A5:L6"/>
    <mergeCell ref="H8:L9"/>
  </mergeCells>
  <conditionalFormatting sqref="B11:B70">
    <cfRule type="cellIs" dxfId="10" priority="1" operator="equal">
      <formula>"Makan Siang &amp; Malam"</formula>
    </cfRule>
    <cfRule type="cellIs" dxfId="9" priority="2" operator="equal">
      <formula>"Makan Malam"</formula>
    </cfRule>
    <cfRule type="cellIs" dxfId="8" priority="3" operator="equal">
      <formula>"Makan Siang"</formula>
    </cfRule>
    <cfRule type="cellIs" dxfId="7" priority="4" operator="equal">
      <formula>"Sarapan"</formula>
    </cfRule>
  </conditionalFormatting>
  <conditionalFormatting sqref="I11:I70">
    <cfRule type="cellIs" dxfId="6" priority="5" operator="equal">
      <formula>"Cuci Motor"</formula>
    </cfRule>
    <cfRule type="cellIs" dxfId="5" priority="6" operator="equal">
      <formula>"Air Galon"</formula>
    </cfRule>
    <cfRule type="cellIs" dxfId="4" priority="7" operator="equal">
      <formula>"Infaq"</formula>
    </cfRule>
    <cfRule type="cellIs" dxfId="3" priority="8" operator="equal">
      <formula>"Jajan"</formula>
    </cfRule>
    <cfRule type="cellIs" dxfId="2" priority="9" operator="equal">
      <formula>"Kelapa Hijau"</formula>
    </cfRule>
    <cfRule type="cellIs" dxfId="1" priority="10" operator="equal">
      <formula>"Kelapa Muda"</formula>
    </cfRule>
    <cfRule type="cellIs" dxfId="0" priority="11" operator="equal">
      <formula>"Parkir"</formula>
    </cfRule>
  </conditionalFormatting>
  <dataValidations count="3">
    <dataValidation type="list" allowBlank="1" showInputMessage="1" showErrorMessage="1" sqref="C11:C70" xr:uid="{3A9F6705-06C0-4F4A-B872-C0C35E942507}">
      <formula1>INDIRECT(B11)</formula1>
    </dataValidation>
    <dataValidation type="list" allowBlank="1" showInputMessage="1" showErrorMessage="1" sqref="I11:I70" xr:uid="{91892B86-90FF-4E0A-A19B-3023D5E24113}">
      <formula1>"Parkir, Kelapa Muda, Kelapa Hijau, Jajan, Infaq, Air Galon, Cuci Motor, N_A,"</formula1>
    </dataValidation>
    <dataValidation type="list" showInputMessage="1" showErrorMessage="1" sqref="B11:B70" xr:uid="{BDD01BD0-D3BC-4B97-81C7-8467E433B26C}">
      <formula1>"Sarapan, Makan_Siang, Makan_Malam, Makan_Siang_Malam, N_A,"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CE6F-B3C3-4051-93FD-F9C2E14C2B61}">
  <dimension ref="A1:N24"/>
  <sheetViews>
    <sheetView workbookViewId="0">
      <selection activeCell="D16" sqref="D16"/>
    </sheetView>
  </sheetViews>
  <sheetFormatPr defaultColWidth="17.77734375" defaultRowHeight="14.4" x14ac:dyDescent="0.3"/>
  <sheetData>
    <row r="1" spans="1:14" x14ac:dyDescent="0.3">
      <c r="A1" s="8" t="s">
        <v>23</v>
      </c>
      <c r="B1" s="8" t="s">
        <v>24</v>
      </c>
      <c r="C1" s="8" t="s">
        <v>25</v>
      </c>
      <c r="D1" s="8" t="s">
        <v>26</v>
      </c>
      <c r="E1" s="9" t="s">
        <v>35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</row>
    <row r="2" spans="1:14" x14ac:dyDescent="0.3">
      <c r="A2" s="1" t="s">
        <v>27</v>
      </c>
      <c r="B2" s="1" t="s">
        <v>27</v>
      </c>
      <c r="C2" s="1" t="s">
        <v>27</v>
      </c>
      <c r="D2" s="1" t="s">
        <v>30</v>
      </c>
      <c r="E2" s="1" t="s">
        <v>35</v>
      </c>
      <c r="G2" s="1" t="s">
        <v>45</v>
      </c>
      <c r="H2" s="1" t="s">
        <v>45</v>
      </c>
      <c r="I2" s="1" t="s">
        <v>45</v>
      </c>
      <c r="J2" s="1" t="s">
        <v>48</v>
      </c>
      <c r="K2" s="1" t="s">
        <v>49</v>
      </c>
      <c r="L2" s="1" t="s">
        <v>49</v>
      </c>
      <c r="M2" s="1" t="s">
        <v>50</v>
      </c>
      <c r="N2" s="1" t="s">
        <v>51</v>
      </c>
    </row>
    <row r="3" spans="1:14" x14ac:dyDescent="0.3">
      <c r="A3" s="1" t="s">
        <v>28</v>
      </c>
      <c r="B3" s="1" t="s">
        <v>30</v>
      </c>
      <c r="C3" s="1" t="s">
        <v>32</v>
      </c>
      <c r="D3" s="1" t="s">
        <v>33</v>
      </c>
      <c r="G3" s="1" t="s">
        <v>46</v>
      </c>
      <c r="H3" s="1" t="s">
        <v>46</v>
      </c>
      <c r="I3" s="1" t="s">
        <v>46</v>
      </c>
      <c r="J3" s="5"/>
      <c r="K3" s="5"/>
      <c r="L3" s="5"/>
      <c r="M3" s="5"/>
      <c r="N3" s="5"/>
    </row>
    <row r="4" spans="1:14" x14ac:dyDescent="0.3">
      <c r="A4" s="1" t="s">
        <v>34</v>
      </c>
      <c r="B4" s="1" t="s">
        <v>31</v>
      </c>
      <c r="C4" s="1" t="s">
        <v>34</v>
      </c>
      <c r="D4" s="1"/>
      <c r="G4" s="5" t="s">
        <v>52</v>
      </c>
      <c r="H4" s="5" t="s">
        <v>52</v>
      </c>
      <c r="I4" s="5" t="s">
        <v>47</v>
      </c>
      <c r="J4" s="5"/>
      <c r="K4" s="5"/>
      <c r="L4" s="5"/>
      <c r="M4" s="5"/>
      <c r="N4" s="5"/>
    </row>
    <row r="5" spans="1:14" x14ac:dyDescent="0.3">
      <c r="A5" s="1" t="s">
        <v>29</v>
      </c>
      <c r="B5" s="1" t="s">
        <v>34</v>
      </c>
      <c r="C5" s="1" t="s">
        <v>29</v>
      </c>
      <c r="D5" s="1"/>
    </row>
    <row r="6" spans="1:14" x14ac:dyDescent="0.3">
      <c r="A6" s="1"/>
      <c r="B6" s="1" t="s">
        <v>29</v>
      </c>
      <c r="C6" s="1"/>
      <c r="D6" s="1"/>
    </row>
    <row r="7" spans="1:14" x14ac:dyDescent="0.3">
      <c r="A7" s="1"/>
      <c r="B7" s="1"/>
      <c r="C7" s="1"/>
      <c r="D7" s="1"/>
    </row>
    <row r="14" spans="1:14" x14ac:dyDescent="0.3">
      <c r="F14" t="s">
        <v>56</v>
      </c>
    </row>
    <row r="18" spans="1:2" x14ac:dyDescent="0.3">
      <c r="A18" s="7" t="s">
        <v>65</v>
      </c>
      <c r="B18" s="7">
        <v>8.11</v>
      </c>
    </row>
    <row r="19" spans="1:2" x14ac:dyDescent="0.3">
      <c r="A19" s="7" t="s">
        <v>0</v>
      </c>
      <c r="B19" s="7">
        <v>4.8899999999999997</v>
      </c>
    </row>
    <row r="20" spans="1:2" x14ac:dyDescent="0.3">
      <c r="A20" s="7" t="s">
        <v>22</v>
      </c>
      <c r="B20" s="7">
        <v>19.78</v>
      </c>
    </row>
    <row r="21" spans="1:2" x14ac:dyDescent="0.3">
      <c r="A21" s="7" t="s">
        <v>1</v>
      </c>
      <c r="B21" s="7">
        <v>19.78</v>
      </c>
    </row>
    <row r="22" spans="1:2" x14ac:dyDescent="0.3">
      <c r="A22" s="7" t="s">
        <v>2</v>
      </c>
      <c r="B22" s="7">
        <v>16.78</v>
      </c>
    </row>
    <row r="23" spans="1:2" x14ac:dyDescent="0.3">
      <c r="A23" s="7" t="s">
        <v>3</v>
      </c>
      <c r="B23" s="7">
        <v>16.78</v>
      </c>
    </row>
    <row r="24" spans="1:2" x14ac:dyDescent="0.3">
      <c r="A24" s="7" t="s">
        <v>4</v>
      </c>
      <c r="B24" s="7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Detail</vt:lpstr>
      <vt:lpstr>Digital</vt:lpstr>
      <vt:lpstr>Tunai</vt:lpstr>
      <vt:lpstr>Pendukung</vt:lpstr>
      <vt:lpstr>Bluebird</vt:lpstr>
      <vt:lpstr>Gojek</vt:lpstr>
      <vt:lpstr>Indomaret</vt:lpstr>
      <vt:lpstr>Laundry</vt:lpstr>
      <vt:lpstr>Makan_Malam</vt:lpstr>
      <vt:lpstr>Makan_Siang</vt:lpstr>
      <vt:lpstr>Makan_Siang_Malam</vt:lpstr>
      <vt:lpstr>N_A</vt:lpstr>
      <vt:lpstr>Sarapan</vt:lpstr>
      <vt:lpstr>Superindo</vt:lpstr>
      <vt:lpstr>Telkomsel</vt:lpstr>
      <vt:lpstr>Tidak_Ada</vt:lpstr>
      <vt:lpstr>Titik</vt:lpstr>
      <vt:lpstr>Tokopedia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2025-07-31T06:44:59Z</dcterms:modified>
</cp:coreProperties>
</file>