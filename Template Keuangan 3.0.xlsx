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keseharian\Templates\Production\"/>
    </mc:Choice>
  </mc:AlternateContent>
  <xr:revisionPtr revIDLastSave="0" documentId="13_ncr:1_{7B5E3A96-E4D0-4D16-B10D-32D495142C0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shboard" sheetId="1" r:id="rId1"/>
    <sheet name="Detail Transaksi" sheetId="2" r:id="rId2"/>
    <sheet name="Pengeluaran" sheetId="3" r:id="rId3"/>
    <sheet name="Pendapatan" sheetId="6" r:id="rId4"/>
    <sheet name="Pendukung" sheetId="5" r:id="rId5"/>
  </sheets>
  <definedNames>
    <definedName name="Alfamart">Pendukung!$F$5:$F$7</definedName>
    <definedName name="Bank">Pendukung!$O$5</definedName>
    <definedName name="Beli">Pendukung!$N$5:$N$7</definedName>
    <definedName name="Bluebird">Pendukung!$L$5:$L$7</definedName>
    <definedName name="Gojek">Pendukung!$K$5:$K$7</definedName>
    <definedName name="Indomaret">Pendukung!$G$5:$G$7</definedName>
    <definedName name="Lomba">Pendukung!$P$5:$P$8</definedName>
    <definedName name="Makan_Malam">Pendukung!$C$5:$C$10</definedName>
    <definedName name="Makan_Siang">Pendukung!$B$5:$B$10</definedName>
    <definedName name="N_A">Pendukung!$D$5</definedName>
    <definedName name="Pembayaran" localSheetId="3">Pendukung!$F$19:$F$21</definedName>
    <definedName name="Pembayaran">Pendukung!$F$19:$F$21</definedName>
    <definedName name="Pemeliharaan">Pendukung!$I$5:$I$7</definedName>
    <definedName name="Sarapan">Pendukung!$A$5:$A$9</definedName>
    <definedName name="Sisa">Pendukung!$C$19</definedName>
    <definedName name="Superindo">Pendukung!$H$5:$H$7</definedName>
    <definedName name="Telkomsel">Pendukung!$J$5:$J$7</definedName>
    <definedName name="Tokopedia">Pendukung!$M$5:$M$7</definedName>
    <definedName name="Transisi">Pendukung!$D$19:$D$20</definedName>
    <definedName name="Transisi_NA" localSheetId="3">Pendukung!$F$22</definedName>
    <definedName name="Transisi_NA">Pendukung!$F$22</definedName>
    <definedName name="Uang_Bulanan">Pendukung!$A$19:$A$21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2" i="2" l="1"/>
  <c r="C20" i="2"/>
  <c r="C21" i="2"/>
  <c r="C10" i="2"/>
  <c r="C13" i="2" s="1"/>
  <c r="H6" i="6"/>
  <c r="S10" i="2"/>
  <c r="N14" i="2"/>
  <c r="S30" i="2"/>
  <c r="S29" i="2"/>
  <c r="C30" i="2"/>
  <c r="C29" i="2"/>
  <c r="J10" i="2"/>
  <c r="J17" i="2" s="1"/>
  <c r="S22" i="2"/>
  <c r="S21" i="2"/>
  <c r="J14" i="2"/>
  <c r="J21" i="2" s="1"/>
  <c r="J13" i="2"/>
  <c r="J20" i="2" s="1"/>
  <c r="J12" i="2"/>
  <c r="J19" i="2" s="1"/>
  <c r="J11" i="2"/>
  <c r="J18" i="2" s="1"/>
  <c r="J22" i="2" l="1"/>
  <c r="T46" i="2"/>
  <c r="S13" i="2"/>
  <c r="T43" i="2"/>
  <c r="C31" i="2" l="1"/>
  <c r="S23" i="2"/>
  <c r="S31" i="2"/>
  <c r="O11" i="2"/>
  <c r="O10" i="2"/>
  <c r="P9" i="3"/>
  <c r="K46" i="2" s="1"/>
  <c r="H9" i="3"/>
  <c r="K43" i="2" s="1"/>
</calcChain>
</file>

<file path=xl/sharedStrings.xml><?xml version="1.0" encoding="utf-8"?>
<sst xmlns="http://schemas.openxmlformats.org/spreadsheetml/2006/main" count="583" uniqueCount="140">
  <si>
    <t>Nama Kolom</t>
  </si>
  <si>
    <t>Ukuran Kolom</t>
  </si>
  <si>
    <t>Default</t>
  </si>
  <si>
    <t>No</t>
  </si>
  <si>
    <t>Kategori</t>
  </si>
  <si>
    <t>Detail</t>
  </si>
  <si>
    <t>Tanggal</t>
  </si>
  <si>
    <t>Harga</t>
  </si>
  <si>
    <t>Total</t>
  </si>
  <si>
    <t>sheet detail</t>
  </si>
  <si>
    <t>sheet pendukung</t>
  </si>
  <si>
    <t>sheet dashboard</t>
  </si>
  <si>
    <t>Sarapan</t>
  </si>
  <si>
    <t>Makan Siang</t>
  </si>
  <si>
    <t>Makan Malam</t>
  </si>
  <si>
    <t>N/A</t>
  </si>
  <si>
    <t>Alfamart</t>
  </si>
  <si>
    <t>Indomaret</t>
  </si>
  <si>
    <t>Superindo</t>
  </si>
  <si>
    <t>Laundry</t>
  </si>
  <si>
    <t>Telkomsel</t>
  </si>
  <si>
    <t>Gojek</t>
  </si>
  <si>
    <t>Bluebird</t>
  </si>
  <si>
    <t>Tokopedia</t>
  </si>
  <si>
    <t>Warteg</t>
  </si>
  <si>
    <t>Balsan</t>
  </si>
  <si>
    <t>Kebutuhan Dapur</t>
  </si>
  <si>
    <t>Topup</t>
  </si>
  <si>
    <t>Bayar</t>
  </si>
  <si>
    <t>Kebutuhan Kos</t>
  </si>
  <si>
    <t>Nasi Kuning</t>
  </si>
  <si>
    <t>Nasi Goreng</t>
  </si>
  <si>
    <t>Burger Bangor</t>
  </si>
  <si>
    <t>Kebutuhan Mandi</t>
  </si>
  <si>
    <t>Gofood</t>
  </si>
  <si>
    <t>FKG</t>
  </si>
  <si>
    <t>Jajan</t>
  </si>
  <si>
    <t>Bikin Sendiri</t>
  </si>
  <si>
    <t>Belanja Mingguan</t>
  </si>
  <si>
    <t>Detail Transaksi</t>
  </si>
  <si>
    <t>Pengeluaran</t>
  </si>
  <si>
    <t>Pemasukan</t>
  </si>
  <si>
    <t>Makanan Pokok</t>
  </si>
  <si>
    <t>N_A</t>
  </si>
  <si>
    <t>Pembayaran</t>
  </si>
  <si>
    <t>Kebutuhan Lain</t>
  </si>
  <si>
    <t>Uang Digital</t>
  </si>
  <si>
    <t>Uang tunai</t>
  </si>
  <si>
    <t>Budget Awal</t>
  </si>
  <si>
    <t>Budget Akhir</t>
  </si>
  <si>
    <t>Ukuran Baris</t>
  </si>
  <si>
    <t>Panel Kontrol</t>
  </si>
  <si>
    <t>Tanggal Awal</t>
  </si>
  <si>
    <t>Tanggal Akhir</t>
  </si>
  <si>
    <t>Pengeluaran per Minggu</t>
  </si>
  <si>
    <t>Budget Maksimal per Hari</t>
  </si>
  <si>
    <t>Minggu 1</t>
  </si>
  <si>
    <t>Digital</t>
  </si>
  <si>
    <t>Minggu 2</t>
  </si>
  <si>
    <t>Tunai</t>
  </si>
  <si>
    <t>Minggu 3</t>
  </si>
  <si>
    <t>Minggu 4</t>
  </si>
  <si>
    <t>Sisa Hari</t>
  </si>
  <si>
    <t>Minggu 5</t>
  </si>
  <si>
    <t>Progress Bar Budget</t>
  </si>
  <si>
    <t>Alokasi Budget</t>
  </si>
  <si>
    <t>Kebutuhan</t>
  </si>
  <si>
    <t>Uang Bulanan</t>
  </si>
  <si>
    <t>Ortu</t>
  </si>
  <si>
    <t>Beasiswa</t>
  </si>
  <si>
    <t>Gaji</t>
  </si>
  <si>
    <t>Selamat Datang di Template Keuangan Excel</t>
  </si>
  <si>
    <t>Template ini bertujuan untuk melacak pengeluaran dan pemasukan yang dilakukan</t>
  </si>
  <si>
    <t>Selamat Menggunakan</t>
  </si>
  <si>
    <t>Pendukung</t>
  </si>
  <si>
    <t>Pendapatan</t>
  </si>
  <si>
    <t>Sheet 'Detail Transaksi' berisi semua transaksi secara detail, mulai dari uang digital dan uang tunai, pengeluaran per minggu, beberapa grafik, dll</t>
  </si>
  <si>
    <t>Sheet 'Pengeluaran' menangani semua pengeluaran yang dilakukan. Pengeluaran diagi menjadi dua kelompok, Makanan Pokok dan Kebutuhan Lain dan juga pembayaran dipisah antara uang digital dan uang tunai</t>
  </si>
  <si>
    <t>Sheet 'Pendapatan menangani semua pendapatan yang diterima. Pendapatan tidak memiliki kelompok dan dibagi antara pendapatan tunai dan digital</t>
  </si>
  <si>
    <t>Sheet 'Pendukung' memberikan dukungan berupa relasi antara Kolom Kategori dan Detail yang terdapat pada sheet Pengeluaran dan Pendapatan serta menyimpan ukuran baris dan kolom masing-masing sheet</t>
  </si>
  <si>
    <t>Hasil Bulan Lalu</t>
  </si>
  <si>
    <t>D:\keseharian\[Dashboard keuangan 2.5.xlsx]detail transaksi'!C19</t>
  </si>
  <si>
    <t>D:\keseharian\[Dashboard keuangan 2.5.xlsx]detail transaksi'!C20</t>
  </si>
  <si>
    <t>D:\keseharian\[Dashboard keuangan 2.5.xlsx]detail transaksi'!C21</t>
  </si>
  <si>
    <t>D:\keseharian\[Dashboard keuangan 2.5.xlsx]detail transaksi'!S20</t>
  </si>
  <si>
    <t>D:\keseharian\[Dashboard keuangan 2.5.xlsx]detail transaksi'!S21</t>
  </si>
  <si>
    <t>D:\keseharian\[Dashboard keuangan 2.5.xlsx]detail transaksi'!S22</t>
  </si>
  <si>
    <t>Beli</t>
  </si>
  <si>
    <t>Galon</t>
  </si>
  <si>
    <t>Bensin</t>
  </si>
  <si>
    <t>Pemeliharaan</t>
  </si>
  <si>
    <t>Cuci Motor</t>
  </si>
  <si>
    <t>Sahur</t>
  </si>
  <si>
    <t>Buka Puasa</t>
  </si>
  <si>
    <t>Sisa</t>
  </si>
  <si>
    <t>Transisi</t>
  </si>
  <si>
    <t>Bulan Lalu</t>
  </si>
  <si>
    <t>Deposit</t>
  </si>
  <si>
    <t>Tarik Tunai</t>
  </si>
  <si>
    <t>Bank</t>
  </si>
  <si>
    <t>Lomba</t>
  </si>
  <si>
    <t>Jalan Kaki</t>
  </si>
  <si>
    <t>Lari</t>
  </si>
  <si>
    <t>Sepeda</t>
  </si>
  <si>
    <t>CTF</t>
  </si>
  <si>
    <t>Admin</t>
  </si>
  <si>
    <t>#FFDAB9</t>
  </si>
  <si>
    <t>#AAF0D1</t>
  </si>
  <si>
    <t>#ADD8E6</t>
  </si>
  <si>
    <t>#FFFACD</t>
  </si>
  <si>
    <t>#FFC0CB</t>
  </si>
  <si>
    <t>#C5E384</t>
  </si>
  <si>
    <t>#F5F5DC</t>
  </si>
  <si>
    <t>#F08080</t>
  </si>
  <si>
    <t>#00B488</t>
  </si>
  <si>
    <t>#5DADE2</t>
  </si>
  <si>
    <t>#1ABC9C</t>
  </si>
  <si>
    <t>#D3D3D3</t>
  </si>
  <si>
    <t>#D2B48C</t>
  </si>
  <si>
    <t>#DDA0DD</t>
  </si>
  <si>
    <t>#E0E0E0</t>
  </si>
  <si>
    <t>#B0C4DE</t>
  </si>
  <si>
    <t>#F8F8F8</t>
  </si>
  <si>
    <t>#FFE4C4</t>
  </si>
  <si>
    <t>#CCFFE5</t>
  </si>
  <si>
    <t>#D6EAF8</t>
  </si>
  <si>
    <t>#FFFAE3</t>
  </si>
  <si>
    <t>#FFDDEE</t>
  </si>
  <si>
    <t>#E9F7CF</t>
  </si>
  <si>
    <t>#EEE8AA</t>
  </si>
  <si>
    <t>#FFD4D4</t>
  </si>
  <si>
    <t>#B2DFDB</t>
  </si>
  <si>
    <t>#D1F2EB</t>
  </si>
  <si>
    <t>#F0F0F0</t>
  </si>
  <si>
    <t>#F5DEB3</t>
  </si>
  <si>
    <t>#F3E5F5</t>
  </si>
  <si>
    <t>#FFEFD5</t>
  </si>
  <si>
    <t>#F5F5F5</t>
  </si>
  <si>
    <t>#DCEAF5</t>
  </si>
  <si>
    <t>Dashboard Keuangan 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</si>
</sst>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p&quot;* #,##0.00_-;\-&quot;Rp&quot;* #,##0.00_-;_-&quot;Rp&quot;* &quot;-&quot;??_-;_-@_-"/>
    <numFmt numFmtId="164" formatCode="_-[$Rp-3809]* #,##0.00_-;\-[$Rp-3809]* #,##0.00_-;_-[$Rp-3809]* &quot;-&quot;??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9" fillId="0" borderId="0" applyNumberFormat="0" applyFill="0" applyBorder="0" applyAlignment="0" applyProtection="0"/>
  </cellStyleXfs>
  <cellXfs count="151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12" borderId="0" xfId="0" applyFill="1"/>
    <xf numFmtId="0" fontId="0" fillId="12" borderId="0" xfId="0" quotePrefix="1" applyFill="1"/>
    <xf numFmtId="0" fontId="0" fillId="12" borderId="0" xfId="0" applyFill="1" applyAlignment="1">
      <alignment vertical="center"/>
    </xf>
    <xf numFmtId="44" fontId="0" fillId="12" borderId="0" xfId="0" applyNumberFormat="1" applyFill="1"/>
    <xf numFmtId="44" fontId="0" fillId="12" borderId="0" xfId="1" applyFont="1" applyFill="1"/>
    <xf numFmtId="0" fontId="0" fillId="12" borderId="0" xfId="0" applyFill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/>
    </xf>
    <xf numFmtId="14" fontId="0" fillId="12" borderId="1" xfId="0" applyNumberFormat="1" applyFill="1" applyBorder="1" applyAlignment="1">
      <alignment horizontal="center" vertical="center"/>
    </xf>
    <xf numFmtId="164" fontId="0" fillId="12" borderId="1" xfId="0" applyNumberFormat="1" applyFill="1" applyBorder="1" applyAlignment="1">
      <alignment horizontal="center" vertical="center"/>
    </xf>
    <xf numFmtId="44" fontId="0" fillId="12" borderId="1" xfId="1" applyFont="1" applyFill="1" applyBorder="1" applyAlignment="1">
      <alignment horizontal="center" vertical="center"/>
    </xf>
    <xf numFmtId="44" fontId="0" fillId="12" borderId="1" xfId="1" applyFont="1" applyFill="1" applyBorder="1"/>
    <xf numFmtId="0" fontId="0" fillId="8" borderId="5" xfId="0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8" borderId="6" xfId="0" applyFill="1" applyBorder="1" applyAlignment="1">
      <alignment horizontal="center" vertical="center" wrapText="1"/>
    </xf>
    <xf numFmtId="0" fontId="0" fillId="8" borderId="8" xfId="0" applyFill="1" applyBorder="1" applyAlignment="1">
      <alignment horizontal="center" vertical="center" wrapText="1"/>
    </xf>
    <xf numFmtId="0" fontId="0" fillId="8" borderId="0" xfId="0" applyFill="1" applyAlignment="1">
      <alignment horizontal="center" vertical="center" wrapText="1"/>
    </xf>
    <xf numFmtId="0" fontId="0" fillId="8" borderId="9" xfId="0" applyFill="1" applyBorder="1" applyAlignment="1">
      <alignment horizontal="center" vertical="center" wrapText="1"/>
    </xf>
    <xf numFmtId="0" fontId="0" fillId="8" borderId="3" xfId="0" applyFill="1" applyBorder="1" applyAlignment="1">
      <alignment horizontal="center" vertical="center" wrapText="1"/>
    </xf>
    <xf numFmtId="0" fontId="0" fillId="8" borderId="4" xfId="0" applyFill="1" applyBorder="1" applyAlignment="1">
      <alignment horizontal="center" vertical="center" wrapText="1"/>
    </xf>
    <xf numFmtId="0" fontId="0" fillId="8" borderId="7" xfId="0" applyFill="1" applyBorder="1" applyAlignment="1">
      <alignment horizontal="center" vertical="center" wrapText="1"/>
    </xf>
    <xf numFmtId="0" fontId="0" fillId="9" borderId="5" xfId="0" applyFill="1" applyBorder="1" applyAlignment="1">
      <alignment horizontal="center" vertical="center" wrapText="1"/>
    </xf>
    <xf numFmtId="0" fontId="0" fillId="9" borderId="2" xfId="0" applyFill="1" applyBorder="1" applyAlignment="1">
      <alignment horizontal="center" vertical="center" wrapText="1"/>
    </xf>
    <xf numFmtId="0" fontId="0" fillId="9" borderId="6" xfId="0" applyFill="1" applyBorder="1" applyAlignment="1">
      <alignment horizontal="center" vertical="center" wrapText="1"/>
    </xf>
    <xf numFmtId="0" fontId="0" fillId="9" borderId="8" xfId="0" applyFill="1" applyBorder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0" fontId="0" fillId="9" borderId="9" xfId="0" applyFill="1" applyBorder="1" applyAlignment="1">
      <alignment horizontal="center" vertical="center" wrapText="1"/>
    </xf>
    <xf numFmtId="0" fontId="0" fillId="9" borderId="3" xfId="0" applyFill="1" applyBorder="1" applyAlignment="1">
      <alignment horizontal="center" vertical="center" wrapText="1"/>
    </xf>
    <xf numFmtId="0" fontId="0" fillId="9" borderId="4" xfId="0" applyFill="1" applyBorder="1" applyAlignment="1">
      <alignment horizontal="center" vertical="center" wrapText="1"/>
    </xf>
    <xf numFmtId="0" fontId="0" fillId="9" borderId="7" xfId="0" applyFill="1" applyBorder="1" applyAlignment="1">
      <alignment horizontal="center" vertical="center" wrapText="1"/>
    </xf>
    <xf numFmtId="0" fontId="0" fillId="10" borderId="5" xfId="0" applyFill="1" applyBorder="1" applyAlignment="1">
      <alignment horizontal="center" vertical="center" wrapText="1"/>
    </xf>
    <xf numFmtId="0" fontId="0" fillId="10" borderId="2" xfId="0" applyFill="1" applyBorder="1" applyAlignment="1">
      <alignment horizontal="center" vertical="center" wrapText="1"/>
    </xf>
    <xf numFmtId="0" fontId="0" fillId="10" borderId="6" xfId="0" applyFill="1" applyBorder="1" applyAlignment="1">
      <alignment horizontal="center" vertical="center" wrapText="1"/>
    </xf>
    <xf numFmtId="0" fontId="0" fillId="10" borderId="8" xfId="0" applyFill="1" applyBorder="1" applyAlignment="1">
      <alignment horizontal="center" vertical="center" wrapText="1"/>
    </xf>
    <xf numFmtId="0" fontId="0" fillId="10" borderId="0" xfId="0" applyFill="1" applyAlignment="1">
      <alignment horizontal="center" vertical="center" wrapText="1"/>
    </xf>
    <xf numFmtId="0" fontId="0" fillId="10" borderId="9" xfId="0" applyFill="1" applyBorder="1" applyAlignment="1">
      <alignment horizontal="center" vertical="center" wrapText="1"/>
    </xf>
    <xf numFmtId="0" fontId="0" fillId="10" borderId="3" xfId="0" applyFill="1" applyBorder="1" applyAlignment="1">
      <alignment horizontal="center" vertical="center" wrapText="1"/>
    </xf>
    <xf numFmtId="0" fontId="0" fillId="10" borderId="4" xfId="0" applyFill="1" applyBorder="1" applyAlignment="1">
      <alignment horizontal="center" vertical="center" wrapText="1"/>
    </xf>
    <xf numFmtId="0" fontId="0" fillId="10" borderId="7" xfId="0" applyFill="1" applyBorder="1" applyAlignment="1">
      <alignment horizontal="center" vertical="center" wrapText="1"/>
    </xf>
    <xf numFmtId="0" fontId="0" fillId="11" borderId="5" xfId="0" applyFill="1" applyBorder="1" applyAlignment="1">
      <alignment horizontal="center" vertical="center" wrapText="1"/>
    </xf>
    <xf numFmtId="0" fontId="0" fillId="11" borderId="2" xfId="0" applyFill="1" applyBorder="1" applyAlignment="1">
      <alignment horizontal="center" vertical="center" wrapText="1"/>
    </xf>
    <xf numFmtId="0" fontId="0" fillId="11" borderId="6" xfId="0" applyFill="1" applyBorder="1" applyAlignment="1">
      <alignment horizontal="center" vertical="center" wrapText="1"/>
    </xf>
    <xf numFmtId="0" fontId="0" fillId="11" borderId="8" xfId="0" applyFill="1" applyBorder="1" applyAlignment="1">
      <alignment horizontal="center" vertical="center" wrapText="1"/>
    </xf>
    <xf numFmtId="0" fontId="0" fillId="11" borderId="0" xfId="0" applyFill="1" applyAlignment="1">
      <alignment horizontal="center" vertical="center" wrapText="1"/>
    </xf>
    <xf numFmtId="0" fontId="0" fillId="11" borderId="9" xfId="0" applyFill="1" applyBorder="1" applyAlignment="1">
      <alignment horizontal="center" vertical="center" wrapText="1"/>
    </xf>
    <xf numFmtId="0" fontId="0" fillId="11" borderId="3" xfId="0" applyFill="1" applyBorder="1" applyAlignment="1">
      <alignment horizontal="center" vertical="center" wrapText="1"/>
    </xf>
    <xf numFmtId="0" fontId="0" fillId="11" borderId="4" xfId="0" applyFill="1" applyBorder="1" applyAlignment="1">
      <alignment horizontal="center" vertical="center" wrapText="1"/>
    </xf>
    <xf numFmtId="0" fontId="0" fillId="11" borderId="7" xfId="0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4" borderId="5" xfId="2" applyFont="1" applyFill="1" applyBorder="1" applyAlignment="1">
      <alignment horizontal="center" vertical="center"/>
    </xf>
    <xf numFmtId="0" fontId="7" fillId="4" borderId="2" xfId="2" applyFont="1" applyFill="1" applyBorder="1" applyAlignment="1">
      <alignment horizontal="center" vertical="center"/>
    </xf>
    <xf numFmtId="0" fontId="7" fillId="4" borderId="6" xfId="2" applyFont="1" applyFill="1" applyBorder="1" applyAlignment="1">
      <alignment horizontal="center" vertical="center"/>
    </xf>
    <xf numFmtId="0" fontId="7" fillId="4" borderId="8" xfId="2" applyFont="1" applyFill="1" applyBorder="1" applyAlignment="1">
      <alignment horizontal="center" vertical="center"/>
    </xf>
    <xf numFmtId="0" fontId="7" fillId="4" borderId="0" xfId="2" applyFont="1" applyFill="1" applyBorder="1" applyAlignment="1">
      <alignment horizontal="center" vertical="center"/>
    </xf>
    <xf numFmtId="0" fontId="7" fillId="4" borderId="9" xfId="2" applyFont="1" applyFill="1" applyBorder="1" applyAlignment="1">
      <alignment horizontal="center" vertical="center"/>
    </xf>
    <xf numFmtId="0" fontId="7" fillId="4" borderId="3" xfId="2" applyFont="1" applyFill="1" applyBorder="1" applyAlignment="1">
      <alignment horizontal="center" vertical="center"/>
    </xf>
    <xf numFmtId="0" fontId="7" fillId="4" borderId="4" xfId="2" applyFont="1" applyFill="1" applyBorder="1" applyAlignment="1">
      <alignment horizontal="center" vertical="center"/>
    </xf>
    <xf numFmtId="0" fontId="7" fillId="4" borderId="7" xfId="2" applyFont="1" applyFill="1" applyBorder="1" applyAlignment="1">
      <alignment horizontal="center" vertical="center"/>
    </xf>
    <xf numFmtId="0" fontId="7" fillId="5" borderId="5" xfId="2" applyFont="1" applyFill="1" applyBorder="1" applyAlignment="1">
      <alignment horizontal="center" vertical="center"/>
    </xf>
    <xf numFmtId="0" fontId="7" fillId="5" borderId="2" xfId="2" applyFont="1" applyFill="1" applyBorder="1" applyAlignment="1">
      <alignment horizontal="center" vertical="center"/>
    </xf>
    <xf numFmtId="0" fontId="7" fillId="5" borderId="6" xfId="2" applyFont="1" applyFill="1" applyBorder="1" applyAlignment="1">
      <alignment horizontal="center" vertical="center"/>
    </xf>
    <xf numFmtId="0" fontId="7" fillId="5" borderId="8" xfId="2" applyFont="1" applyFill="1" applyBorder="1" applyAlignment="1">
      <alignment horizontal="center" vertical="center"/>
    </xf>
    <xf numFmtId="0" fontId="7" fillId="5" borderId="0" xfId="2" applyFont="1" applyFill="1" applyBorder="1" applyAlignment="1">
      <alignment horizontal="center" vertical="center"/>
    </xf>
    <xf numFmtId="0" fontId="7" fillId="5" borderId="9" xfId="2" applyFont="1" applyFill="1" applyBorder="1" applyAlignment="1">
      <alignment horizontal="center" vertical="center"/>
    </xf>
    <xf numFmtId="0" fontId="7" fillId="5" borderId="3" xfId="2" applyFont="1" applyFill="1" applyBorder="1" applyAlignment="1">
      <alignment horizontal="center" vertical="center"/>
    </xf>
    <xf numFmtId="0" fontId="7" fillId="5" borderId="4" xfId="2" applyFont="1" applyFill="1" applyBorder="1" applyAlignment="1">
      <alignment horizontal="center" vertical="center"/>
    </xf>
    <xf numFmtId="0" fontId="7" fillId="5" borderId="7" xfId="2" applyFont="1" applyFill="1" applyBorder="1" applyAlignment="1">
      <alignment horizontal="center" vertical="center"/>
    </xf>
    <xf numFmtId="0" fontId="7" fillId="6" borderId="5" xfId="2" applyFont="1" applyFill="1" applyBorder="1" applyAlignment="1">
      <alignment horizontal="center" vertical="center"/>
    </xf>
    <xf numFmtId="0" fontId="7" fillId="6" borderId="2" xfId="2" applyFont="1" applyFill="1" applyBorder="1" applyAlignment="1">
      <alignment horizontal="center" vertical="center"/>
    </xf>
    <xf numFmtId="0" fontId="7" fillId="6" borderId="6" xfId="2" applyFont="1" applyFill="1" applyBorder="1" applyAlignment="1">
      <alignment horizontal="center" vertical="center"/>
    </xf>
    <xf numFmtId="0" fontId="7" fillId="6" borderId="8" xfId="2" applyFont="1" applyFill="1" applyBorder="1" applyAlignment="1">
      <alignment horizontal="center" vertical="center"/>
    </xf>
    <xf numFmtId="0" fontId="7" fillId="6" borderId="0" xfId="2" applyFont="1" applyFill="1" applyBorder="1" applyAlignment="1">
      <alignment horizontal="center" vertical="center"/>
    </xf>
    <xf numFmtId="0" fontId="7" fillId="6" borderId="9" xfId="2" applyFont="1" applyFill="1" applyBorder="1" applyAlignment="1">
      <alignment horizontal="center" vertical="center"/>
    </xf>
    <xf numFmtId="0" fontId="7" fillId="6" borderId="3" xfId="2" applyFont="1" applyFill="1" applyBorder="1" applyAlignment="1">
      <alignment horizontal="center" vertical="center"/>
    </xf>
    <xf numFmtId="0" fontId="7" fillId="6" borderId="4" xfId="2" applyFont="1" applyFill="1" applyBorder="1" applyAlignment="1">
      <alignment horizontal="center" vertical="center"/>
    </xf>
    <xf numFmtId="0" fontId="7" fillId="6" borderId="7" xfId="2" applyFont="1" applyFill="1" applyBorder="1" applyAlignment="1">
      <alignment horizontal="center" vertical="center"/>
    </xf>
    <xf numFmtId="0" fontId="7" fillId="7" borderId="5" xfId="2" applyFont="1" applyFill="1" applyBorder="1" applyAlignment="1">
      <alignment horizontal="center" vertical="center"/>
    </xf>
    <xf numFmtId="0" fontId="7" fillId="7" borderId="2" xfId="2" applyFont="1" applyFill="1" applyBorder="1" applyAlignment="1">
      <alignment horizontal="center" vertical="center"/>
    </xf>
    <xf numFmtId="0" fontId="7" fillId="7" borderId="6" xfId="2" applyFont="1" applyFill="1" applyBorder="1" applyAlignment="1">
      <alignment horizontal="center" vertical="center"/>
    </xf>
    <xf numFmtId="0" fontId="7" fillId="7" borderId="8" xfId="2" applyFont="1" applyFill="1" applyBorder="1" applyAlignment="1">
      <alignment horizontal="center" vertical="center"/>
    </xf>
    <xf numFmtId="0" fontId="7" fillId="7" borderId="0" xfId="2" applyFont="1" applyFill="1" applyBorder="1" applyAlignment="1">
      <alignment horizontal="center" vertical="center"/>
    </xf>
    <xf numFmtId="0" fontId="7" fillId="7" borderId="9" xfId="2" applyFont="1" applyFill="1" applyBorder="1" applyAlignment="1">
      <alignment horizontal="center" vertical="center"/>
    </xf>
    <xf numFmtId="0" fontId="7" fillId="7" borderId="3" xfId="2" applyFont="1" applyFill="1" applyBorder="1" applyAlignment="1">
      <alignment horizontal="center" vertical="center"/>
    </xf>
    <xf numFmtId="0" fontId="7" fillId="7" borderId="4" xfId="2" applyFont="1" applyFill="1" applyBorder="1" applyAlignment="1">
      <alignment horizontal="center" vertical="center"/>
    </xf>
    <xf numFmtId="0" fontId="7" fillId="7" borderId="7" xfId="2" applyFont="1" applyFill="1" applyBorder="1" applyAlignment="1">
      <alignment horizontal="center" vertical="center"/>
    </xf>
    <xf numFmtId="14" fontId="6" fillId="0" borderId="10" xfId="0" applyNumberFormat="1" applyFont="1" applyBorder="1" applyAlignment="1">
      <alignment horizontal="center" vertical="center"/>
    </xf>
    <xf numFmtId="14" fontId="6" fillId="0" borderId="11" xfId="0" applyNumberFormat="1" applyFont="1" applyBorder="1" applyAlignment="1">
      <alignment horizontal="center" vertical="center"/>
    </xf>
    <xf numFmtId="14" fontId="6" fillId="0" borderId="12" xfId="0" applyNumberFormat="1" applyFont="1" applyBorder="1" applyAlignment="1">
      <alignment horizontal="center" vertical="center"/>
    </xf>
    <xf numFmtId="44" fontId="0" fillId="0" borderId="5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44" fontId="0" fillId="0" borderId="6" xfId="0" applyNumberFormat="1" applyBorder="1" applyAlignment="1">
      <alignment horizontal="center"/>
    </xf>
    <xf numFmtId="44" fontId="0" fillId="0" borderId="3" xfId="0" applyNumberFormat="1" applyBorder="1" applyAlignment="1">
      <alignment horizontal="center"/>
    </xf>
    <xf numFmtId="44" fontId="0" fillId="0" borderId="4" xfId="0" applyNumberFormat="1" applyBorder="1" applyAlignment="1">
      <alignment horizontal="center"/>
    </xf>
    <xf numFmtId="44" fontId="0" fillId="0" borderId="7" xfId="0" applyNumberFormat="1" applyBorder="1" applyAlignment="1">
      <alignment horizontal="center"/>
    </xf>
    <xf numFmtId="44" fontId="0" fillId="0" borderId="10" xfId="1" applyFont="1" applyBorder="1" applyAlignment="1">
      <alignment horizontal="center" vertical="center"/>
    </xf>
    <xf numFmtId="44" fontId="0" fillId="0" borderId="11" xfId="1" applyFont="1" applyBorder="1" applyAlignment="1">
      <alignment horizontal="center" vertical="center"/>
    </xf>
    <xf numFmtId="44" fontId="0" fillId="0" borderId="12" xfId="1" applyFont="1" applyBorder="1" applyAlignment="1">
      <alignment horizontal="center" vertical="center"/>
    </xf>
    <xf numFmtId="44" fontId="0" fillId="0" borderId="10" xfId="0" applyNumberFormat="1" applyBorder="1" applyAlignment="1">
      <alignment horizontal="center" vertical="center"/>
    </xf>
    <xf numFmtId="44" fontId="0" fillId="0" borderId="12" xfId="0" applyNumberFormat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44" fontId="8" fillId="0" borderId="5" xfId="0" applyNumberFormat="1" applyFont="1" applyBorder="1" applyAlignment="1">
      <alignment horizontal="center" vertical="center"/>
    </xf>
    <xf numFmtId="44" fontId="8" fillId="0" borderId="2" xfId="0" applyNumberFormat="1" applyFont="1" applyBorder="1" applyAlignment="1">
      <alignment horizontal="center" vertical="center"/>
    </xf>
    <xf numFmtId="44" fontId="8" fillId="0" borderId="6" xfId="0" applyNumberFormat="1" applyFont="1" applyBorder="1" applyAlignment="1">
      <alignment horizontal="center" vertical="center"/>
    </xf>
    <xf numFmtId="44" fontId="8" fillId="0" borderId="3" xfId="0" applyNumberFormat="1" applyFont="1" applyBorder="1" applyAlignment="1">
      <alignment horizontal="center" vertical="center"/>
    </xf>
    <xf numFmtId="44" fontId="8" fillId="0" borderId="4" xfId="0" applyNumberFormat="1" applyFont="1" applyBorder="1" applyAlignment="1">
      <alignment horizontal="center" vertical="center"/>
    </xf>
    <xf numFmtId="44" fontId="8" fillId="0" borderId="7" xfId="0" applyNumberFormat="1" applyFont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</cellXfs>
  <cellStyles count="3">
    <cellStyle name="Currency" xfId="1" builtinId="4"/>
    <cellStyle name="Hyperlink" xfId="2" builtinId="8"/>
    <cellStyle name="Normal" xfId="0" builtinId="0"/>
  </cellStyles>
  <dxfs count="78"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8F8F8"/>
        </patternFill>
      </fill>
    </dxf>
    <dxf>
      <fill>
        <patternFill>
          <bgColor rgb="FFFFDFD5"/>
        </patternFill>
      </fill>
    </dxf>
    <dxf>
      <fill>
        <patternFill>
          <bgColor rgb="FFFFDFD5"/>
        </patternFill>
      </fill>
    </dxf>
    <dxf>
      <fill>
        <patternFill>
          <bgColor rgb="FFFFDFD5"/>
        </patternFill>
      </fill>
    </dxf>
    <dxf>
      <fill>
        <patternFill>
          <bgColor rgb="FFF5F5F5"/>
        </patternFill>
      </fill>
    </dxf>
    <dxf>
      <fill>
        <patternFill>
          <bgColor rgb="FFDCEAF5"/>
        </patternFill>
      </fill>
    </dxf>
    <dxf>
      <fill>
        <patternFill>
          <bgColor rgb="FFDCEAF5"/>
        </patternFill>
      </fill>
    </dxf>
    <dxf>
      <fill>
        <patternFill>
          <bgColor rgb="FFFFDAB9"/>
        </patternFill>
      </fill>
    </dxf>
    <dxf>
      <fill>
        <patternFill>
          <bgColor rgb="FFE0E0E0"/>
        </patternFill>
      </fill>
    </dxf>
    <dxf>
      <fill>
        <patternFill>
          <bgColor rgb="FFB0C4DE"/>
        </patternFill>
      </fill>
    </dxf>
    <dxf>
      <fill>
        <patternFill>
          <bgColor rgb="FFF8F8F8"/>
        </patternFill>
      </fill>
    </dxf>
    <dxf>
      <fill>
        <patternFill>
          <bgColor rgb="FFFFFF00"/>
        </patternFill>
      </fill>
    </dxf>
    <dxf>
      <fill>
        <patternFill>
          <bgColor rgb="FFF8F8F8"/>
        </patternFill>
      </fill>
    </dxf>
    <dxf>
      <fill>
        <patternFill>
          <bgColor rgb="FFFF0000"/>
        </patternFill>
      </fill>
    </dxf>
    <dxf>
      <fill>
        <patternFill>
          <bgColor rgb="FFFFFAE3"/>
        </patternFill>
      </fill>
    </dxf>
    <dxf>
      <fill>
        <patternFill>
          <bgColor rgb="FFFFFAE3"/>
        </patternFill>
      </fill>
    </dxf>
    <dxf>
      <fill>
        <patternFill>
          <bgColor rgb="FFFFFAE3"/>
        </patternFill>
      </fill>
    </dxf>
    <dxf>
      <fill>
        <patternFill>
          <bgColor rgb="FFFFDDEE"/>
        </patternFill>
      </fill>
    </dxf>
    <dxf>
      <fill>
        <patternFill>
          <bgColor rgb="FFFFDDEE"/>
        </patternFill>
      </fill>
    </dxf>
    <dxf>
      <fill>
        <patternFill>
          <bgColor rgb="FFFFDDEE"/>
        </patternFill>
      </fill>
    </dxf>
    <dxf>
      <fill>
        <patternFill>
          <bgColor rgb="FFE9F7CF"/>
        </patternFill>
      </fill>
    </dxf>
    <dxf>
      <fill>
        <patternFill>
          <bgColor rgb="FFEEE8AA"/>
        </patternFill>
      </fill>
    </dxf>
    <dxf>
      <fill>
        <patternFill>
          <bgColor rgb="FFEEE8AA"/>
        </patternFill>
      </fill>
    </dxf>
    <dxf>
      <fill>
        <patternFill>
          <bgColor rgb="FFFFD4D4"/>
        </patternFill>
      </fill>
    </dxf>
    <dxf>
      <fill>
        <patternFill>
          <bgColor rgb="FFB2DFDB"/>
        </patternFill>
      </fill>
    </dxf>
    <dxf>
      <fill>
        <patternFill>
          <bgColor rgb="FFD6EAF8"/>
        </patternFill>
      </fill>
    </dxf>
    <dxf>
      <fill>
        <patternFill>
          <bgColor rgb="FFD1F2EB"/>
        </patternFill>
      </fill>
    </dxf>
    <dxf>
      <fill>
        <patternFill>
          <bgColor rgb="FFF0F0F0"/>
        </patternFill>
      </fill>
    </dxf>
    <dxf>
      <fill>
        <patternFill>
          <bgColor rgb="FFF0F0F0"/>
        </patternFill>
      </fill>
    </dxf>
    <dxf>
      <fill>
        <patternFill>
          <bgColor rgb="FFF0F0F0"/>
        </patternFill>
      </fill>
    </dxf>
    <dxf>
      <fill>
        <patternFill>
          <bgColor rgb="FFF5DEB3"/>
        </patternFill>
      </fill>
    </dxf>
    <dxf>
      <fill>
        <patternFill>
          <bgColor rgb="FFF3E5F5"/>
        </patternFill>
      </fill>
    </dxf>
    <dxf>
      <fill>
        <patternFill>
          <bgColor rgb="FFF3E5F5"/>
        </patternFill>
      </fill>
    </dxf>
    <dxf>
      <fill>
        <patternFill>
          <bgColor rgb="FFF3E5F5"/>
        </patternFill>
      </fill>
    </dxf>
    <dxf>
      <fill>
        <patternFill>
          <bgColor rgb="FFF3E5F5"/>
        </patternFill>
      </fill>
    </dxf>
    <dxf>
      <fill>
        <patternFill>
          <bgColor rgb="FF1ABC9C"/>
        </patternFill>
      </fill>
    </dxf>
    <dxf>
      <fill>
        <patternFill>
          <bgColor rgb="FFD3D3D3"/>
        </patternFill>
      </fill>
    </dxf>
    <dxf>
      <fill>
        <patternFill>
          <bgColor rgb="FFD2B48C"/>
        </patternFill>
      </fill>
    </dxf>
    <dxf>
      <fill>
        <patternFill>
          <bgColor rgb="FFF8F8F8"/>
        </patternFill>
      </fill>
    </dxf>
    <dxf>
      <fill>
        <patternFill>
          <bgColor rgb="FFDDA0DD"/>
        </patternFill>
      </fill>
    </dxf>
    <dxf>
      <fill>
        <patternFill>
          <bgColor rgb="FFF5F5DC"/>
        </patternFill>
      </fill>
    </dxf>
    <dxf>
      <fill>
        <patternFill>
          <bgColor rgb="FFFFFACD"/>
        </patternFill>
      </fill>
    </dxf>
    <dxf>
      <fill>
        <patternFill>
          <bgColor rgb="FFFFC0CB"/>
        </patternFill>
      </fill>
    </dxf>
    <dxf>
      <fill>
        <patternFill>
          <bgColor rgb="FFC5E384"/>
        </patternFill>
      </fill>
    </dxf>
    <dxf>
      <fill>
        <patternFill>
          <bgColor rgb="FFF08080"/>
        </patternFill>
      </fill>
    </dxf>
    <dxf>
      <fill>
        <patternFill>
          <bgColor rgb="FF00B488"/>
        </patternFill>
      </fill>
    </dxf>
    <dxf>
      <fill>
        <patternFill>
          <bgColor rgb="FF5DADE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8F8F8"/>
        </patternFill>
      </fill>
    </dxf>
    <dxf>
      <fill>
        <patternFill>
          <bgColor rgb="FFFFE4C4"/>
        </patternFill>
      </fill>
    </dxf>
    <dxf>
      <fill>
        <patternFill>
          <bgColor rgb="FFFFE4C4"/>
        </patternFill>
      </fill>
    </dxf>
    <dxf>
      <fill>
        <patternFill>
          <bgColor rgb="FFFFE4C4"/>
        </patternFill>
      </fill>
    </dxf>
    <dxf>
      <fill>
        <patternFill>
          <bgColor rgb="FFFFE4C4"/>
        </patternFill>
      </fill>
    </dxf>
    <dxf>
      <fill>
        <patternFill>
          <bgColor rgb="FFFFE4C4"/>
        </patternFill>
      </fill>
    </dxf>
    <dxf>
      <fill>
        <patternFill>
          <bgColor rgb="FFCCFFE5"/>
        </patternFill>
      </fill>
    </dxf>
    <dxf>
      <fill>
        <patternFill>
          <bgColor rgb="FFCCFFE5"/>
        </patternFill>
      </fill>
    </dxf>
    <dxf>
      <fill>
        <patternFill>
          <bgColor rgb="FFD6EAF8"/>
        </patternFill>
      </fill>
    </dxf>
    <dxf>
      <fill>
        <patternFill>
          <bgColor rgb="FFCCFFE5"/>
        </patternFill>
      </fill>
    </dxf>
    <dxf>
      <fill>
        <patternFill>
          <bgColor rgb="FFD6EAF8"/>
        </patternFill>
      </fill>
    </dxf>
    <dxf>
      <fill>
        <patternFill>
          <bgColor rgb="FFD6EAF8"/>
        </patternFill>
      </fill>
    </dxf>
    <dxf>
      <fill>
        <patternFill>
          <bgColor rgb="FFD6EAF8"/>
        </patternFill>
      </fill>
    </dxf>
    <dxf>
      <fill>
        <patternFill>
          <bgColor rgb="FFD6EAF8"/>
        </patternFill>
      </fill>
    </dxf>
    <dxf>
      <fill>
        <patternFill>
          <bgColor rgb="FFD6EAF8"/>
        </patternFill>
      </fill>
    </dxf>
    <dxf>
      <fill>
        <patternFill>
          <bgColor rgb="FFCCFFE5"/>
        </patternFill>
      </fill>
    </dxf>
    <dxf>
      <fill>
        <patternFill>
          <bgColor rgb="FFCCFFE5"/>
        </patternFill>
      </fill>
    </dxf>
    <dxf>
      <fill>
        <patternFill>
          <bgColor rgb="FFCCFFE5"/>
        </patternFill>
      </fill>
    </dxf>
    <dxf>
      <fill>
        <patternFill>
          <bgColor rgb="FFF8F8F8"/>
        </patternFill>
      </fill>
    </dxf>
    <dxf>
      <fill>
        <patternFill>
          <bgColor rgb="FFFFDAB9"/>
        </patternFill>
      </fill>
    </dxf>
    <dxf>
      <fill>
        <patternFill>
          <bgColor rgb="FFAAF0D1"/>
        </patternFill>
      </fill>
    </dxf>
    <dxf>
      <fill>
        <patternFill>
          <bgColor rgb="FFADD8E6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F8F8F8"/>
      <color rgb="FFF3E5F5"/>
      <color rgb="FFF5DEB3"/>
      <color rgb="FFF0F0F0"/>
      <color rgb="FFD1F2EB"/>
      <color rgb="FFD1E2EB"/>
      <color rgb="FFD6EAF8"/>
      <color rgb="FFB2DFDB"/>
      <color rgb="FFFFD4D4"/>
      <color rgb="FFEEE8A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Dashboard!$C$29:$C$30</c:f>
              <c:strCache>
                <c:ptCount val="2"/>
                <c:pt idx="0">
                  <c:v>D:\keseharian\[Dashboard keuangan 2.5.xlsx]detail transaksi'!C19</c:v>
                </c:pt>
                <c:pt idx="1">
                  <c:v>D:\keseharian\[Dashboard keuangan 2.5.xlsx]detail transaksi'!C20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9B3-4B8E-8660-1844B08AD27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Dashboard!$C$31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0B-4E27-A4A7-A27B04C90269}"/>
            </c:ext>
          </c:extLst>
        </c:ser>
        <c:dLbls>
          <c:showLegendKey val="0"/>
          <c:showVal val="1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Dashboard!$I$29:$I$30</c:f>
              <c:strCache>
                <c:ptCount val="2"/>
                <c:pt idx="0">
                  <c:v>D:\keseharian\[Dashboard keuangan 2.5.xlsx]detail transaksi'!S20</c:v>
                </c:pt>
                <c:pt idx="1">
                  <c:v>D:\keseharian\[Dashboard keuangan 2.5.xlsx]detail transaksi'!S21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277-47D5-942D-0B360DD6FD2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Dashboard!$I$31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57-4EDE-B98D-7152D6633203}"/>
            </c:ext>
          </c:extLst>
        </c:ser>
        <c:dLbls>
          <c:showLegendKey val="0"/>
          <c:showVal val="1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D" sz="1400" b="0" i="0" u="none" strike="noStrike" kern="1200" spc="0" baseline="0">
                <a:solidFill>
                  <a:sysClr val="window" lastClr="FFFFFF"/>
                </a:solidFill>
              </a:rPr>
              <a:t>Grafik Pengeluaran per Minggu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'Detail Transaksi'!$J$10:$J$14</c:f>
              <c:numCache>
                <c:formatCode>_("Rp"* #,##0.00_);_("Rp"* \(#,##0.00\);_("Rp"* "-"??_);_(@_)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D3-4B4F-ABF3-0D86A884BD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603440"/>
        <c:axId val="216144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'Detail Transaksi'!$K$10:$K$14</c15:sqref>
                        </c15:formulaRef>
                      </c:ext>
                    </c:extLst>
                    <c:numCache>
                      <c:formatCode>_("Rp"* #,##0.00_);_("Rp"* \(#,##0.00\);_("Rp"* "-"??_);_(@_)</c:formatCode>
                      <c:ptCount val="5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22D3-4B4F-ABF3-0D86A884BD5D}"/>
                  </c:ext>
                </c:extLst>
              </c15:ser>
            </c15:filteredLineSeries>
            <c15:filteredLineSeries>
              <c15:ser>
                <c:idx val="2"/>
                <c:order val="2"/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'Detail Transaksi'!$L$10:$L$14</c15:sqref>
                        </c15:formulaRef>
                      </c:ext>
                    </c:extLst>
                    <c:numCache>
                      <c:formatCode>_("Rp"* #,##0.00_);_("Rp"* \(#,##0.00\);_("Rp"* "-"??_);_(@_)</c:formatCode>
                      <c:ptCount val="5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22D3-4B4F-ABF3-0D86A884BD5D}"/>
                  </c:ext>
                </c:extLst>
              </c15:ser>
            </c15:filteredLineSeries>
          </c:ext>
        </c:extLst>
      </c:lineChart>
      <c:catAx>
        <c:axId val="21603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614480"/>
        <c:crosses val="autoZero"/>
        <c:auto val="1"/>
        <c:lblAlgn val="ctr"/>
        <c:lblOffset val="100"/>
        <c:noMultiLvlLbl val="0"/>
      </c:catAx>
      <c:valAx>
        <c:axId val="21614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p&quot;* #,##0.00_);_(&quot;Rp&quot;* \(#,##0.00\);_(&quot;Rp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603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Persentase Penggunaan Uang Digital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AE9-408B-B346-27F01B5A1C7D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AE9-408B-B346-27F01B5A1C7D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AE9-408B-B346-27F01B5A1C7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Makanan</c:v>
              </c:pt>
              <c:pt idx="1">
                <c:v>Kebutuhan</c:v>
              </c:pt>
              <c:pt idx="2">
                <c:v>Sisa Uang</c:v>
              </c:pt>
            </c:strLit>
          </c:cat>
          <c:val>
            <c:numRef>
              <c:f>'Detail Transaksi'!$C$20:$C$22</c:f>
              <c:numCache>
                <c:formatCode>_("Rp"* #,##0.00_);_("Rp"* \(#,##0.00\);_("Rp"* "-"??_);_(@_)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6A-46B5-AB06-A48C19E8A347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Persentase</a:t>
            </a:r>
            <a:r>
              <a:rPr lang="en-ID" baseline="0"/>
              <a:t> Penggunaan </a:t>
            </a:r>
            <a:r>
              <a:rPr lang="en-ID"/>
              <a:t>Uang Tunai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18B-4799-AC3A-5B7481849EB2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18B-4799-AC3A-5B7481849EB2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18B-4799-AC3A-5B7481849EB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Makanan</c:v>
              </c:pt>
              <c:pt idx="1">
                <c:v>Kebutuhan</c:v>
              </c:pt>
              <c:pt idx="2">
                <c:v>Sisa Uang</c:v>
              </c:pt>
            </c:strLit>
          </c:cat>
          <c:val>
            <c:numRef>
              <c:f>'Detail Transaksi'!$S$21:$S$23</c:f>
              <c:numCache>
                <c:formatCode>_("Rp"* #,##0.00_);_("Rp"* \(#,##0.00\);_("Rp"* "-"??_);_(@_)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ED-4A9A-8150-8B22C5278E6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Nominal Penggunaan</a:t>
            </a:r>
            <a:r>
              <a:rPr lang="en-ID" baseline="0"/>
              <a:t> Uang Digital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ID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260-47D5-981A-FBF1CDC2E9F4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260-47D5-981A-FBF1CDC2E9F4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260-47D5-981A-FBF1CDC2E9F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Makanan</c:v>
              </c:pt>
              <c:pt idx="1">
                <c:v>Kebutuhan</c:v>
              </c:pt>
              <c:pt idx="2">
                <c:v>Sisa Uang</c:v>
              </c:pt>
            </c:strLit>
          </c:cat>
          <c:val>
            <c:numRef>
              <c:f>'Detail Transaksi'!$C$29:$C$31</c:f>
              <c:numCache>
                <c:formatCode>_("Rp"* #,##0.00_);_("Rp"* \(#,##0.00\);_("Rp"* "-"??_);_(@_)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BA-4676-BF23-835752FE37E3}"/>
            </c:ext>
          </c:extLst>
        </c:ser>
        <c:dLbls>
          <c:showLegendKey val="0"/>
          <c:showVal val="1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Nominal Penggunaan Uang Tunai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34A-45B7-A4C9-39C0A0DCC18D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34A-45B7-A4C9-39C0A0DCC18D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34A-45B7-A4C9-39C0A0DCC18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Makanan</c:v>
              </c:pt>
              <c:pt idx="1">
                <c:v>Kebutuhan</c:v>
              </c:pt>
              <c:pt idx="2">
                <c:v>Sisa Uang</c:v>
              </c:pt>
            </c:strLit>
          </c:cat>
          <c:val>
            <c:numRef>
              <c:f>'Detail Transaksi'!$S$29:$S$31</c:f>
              <c:numCache>
                <c:formatCode>_("Rp"* #,##0.00_);_("Rp"* \(#,##0.00\);_("Rp"* "-"??_);_(@_)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55-439D-9E2D-3923A61BBA58}"/>
            </c:ext>
          </c:extLst>
        </c:ser>
        <c:dLbls>
          <c:showLegendKey val="0"/>
          <c:showVal val="1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Persentase Pengeluaran per Minggu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585-4522-A48A-DFC13818281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585-4522-A48A-DFC13818281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585-4522-A48A-DFC13818281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585-4522-A48A-DFC13818281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585-4522-A48A-DFC13818281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585-4522-A48A-DFC13818281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6"/>
              <c:pt idx="0">
                <c:v>Minggu 1</c:v>
              </c:pt>
              <c:pt idx="1">
                <c:v>Minggu 2</c:v>
              </c:pt>
              <c:pt idx="2">
                <c:v>Minggu 3</c:v>
              </c:pt>
              <c:pt idx="3">
                <c:v>Minggu 4</c:v>
              </c:pt>
              <c:pt idx="4">
                <c:v>Minggu 5</c:v>
              </c:pt>
              <c:pt idx="5">
                <c:v>Sisa Uang</c:v>
              </c:pt>
            </c:strLit>
          </c:cat>
          <c:val>
            <c:numRef>
              <c:f>'Detail Transaksi'!$J$17:$J$22</c:f>
              <c:numCache>
                <c:formatCode>_("Rp"* #,##0.00_);_("Rp"* \(#,##0.00\);_("Rp"* "-"??_);_(@_)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F7-4F6E-82D9-786483ACB278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429987</xdr:colOff>
      <xdr:row>26</xdr:row>
      <xdr:rowOff>4898</xdr:rowOff>
    </xdr:from>
    <xdr:to>
      <xdr:col>6</xdr:col>
      <xdr:colOff>437607</xdr:colOff>
      <xdr:row>39</xdr:row>
      <xdr:rowOff>1088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FEDC81-ED49-51C1-9EB3-3AFBB4F4F4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373380</xdr:colOff>
      <xdr:row>26</xdr:row>
      <xdr:rowOff>4897</xdr:rowOff>
    </xdr:from>
    <xdr:to>
      <xdr:col>12</xdr:col>
      <xdr:colOff>373380</xdr:colOff>
      <xdr:row>39</xdr:row>
      <xdr:rowOff>18504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D1CA32B-7602-F863-11A3-52E71AD2FD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21771</xdr:colOff>
      <xdr:row>27</xdr:row>
      <xdr:rowOff>10888</xdr:rowOff>
    </xdr:from>
    <xdr:to>
      <xdr:col>16</xdr:col>
      <xdr:colOff>-1</xdr:colOff>
      <xdr:row>38</xdr:row>
      <xdr:rowOff>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D4CB1B-F463-4AF5-283B-2720DE1CD0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256902</xdr:colOff>
      <xdr:row>15</xdr:row>
      <xdr:rowOff>2720</xdr:rowOff>
    </xdr:from>
    <xdr:to>
      <xdr:col>6</xdr:col>
      <xdr:colOff>794656</xdr:colOff>
      <xdr:row>25</xdr:row>
      <xdr:rowOff>239485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C37F413-4B8B-7148-FC60-D629FC75E5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10885</xdr:colOff>
      <xdr:row>15</xdr:row>
      <xdr:rowOff>10885</xdr:rowOff>
    </xdr:from>
    <xdr:to>
      <xdr:col>23</xdr:col>
      <xdr:colOff>0</xdr:colOff>
      <xdr:row>25</xdr:row>
      <xdr:rowOff>247649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B6F61A3-CB74-E6F2-F11E-EA465C763F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256901</xdr:colOff>
      <xdr:row>27</xdr:row>
      <xdr:rowOff>2</xdr:rowOff>
    </xdr:from>
    <xdr:to>
      <xdr:col>6</xdr:col>
      <xdr:colOff>794657</xdr:colOff>
      <xdr:row>37</xdr:row>
      <xdr:rowOff>239488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B4567EE-51E8-1DB1-0B56-7A696DED10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-1</xdr:colOff>
      <xdr:row>27</xdr:row>
      <xdr:rowOff>10885</xdr:rowOff>
    </xdr:from>
    <xdr:to>
      <xdr:col>22</xdr:col>
      <xdr:colOff>794657</xdr:colOff>
      <xdr:row>37</xdr:row>
      <xdr:rowOff>250371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A6D0CC5-54EE-D397-DF66-F3F539FF76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0</xdr:colOff>
      <xdr:row>15</xdr:row>
      <xdr:rowOff>1</xdr:rowOff>
    </xdr:from>
    <xdr:to>
      <xdr:col>15</xdr:col>
      <xdr:colOff>0</xdr:colOff>
      <xdr:row>25</xdr:row>
      <xdr:rowOff>239487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95A120C-1436-A8E1-2244-FA02877E18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31"/>
  <sheetViews>
    <sheetView zoomScaleNormal="100" workbookViewId="0"/>
  </sheetViews>
  <sheetFormatPr defaultColWidth="11.77734375" defaultRowHeight="14.4" customHeight="1" x14ac:dyDescent="0.3"/>
  <cols>
    <col min="1" max="1" width="3.77734375" style="8" customWidth="1"/>
    <col min="2" max="16384" width="11.77734375" style="8"/>
  </cols>
  <sheetData>
    <row r="2" spans="2:13" ht="14.4" customHeight="1" x14ac:dyDescent="0.3">
      <c r="B2" s="62" t="s">
        <v>139</v>
      </c>
      <c r="C2" s="63"/>
      <c r="D2" s="63"/>
      <c r="E2" s="63"/>
      <c r="F2" s="63"/>
      <c r="G2" s="63"/>
      <c r="H2" s="63"/>
      <c r="I2" s="63"/>
      <c r="J2" s="63"/>
      <c r="K2" s="63"/>
      <c r="L2" s="63"/>
      <c r="M2" s="64"/>
    </row>
    <row r="3" spans="2:13" ht="14.4" customHeight="1" x14ac:dyDescent="0.3">
      <c r="B3" s="65"/>
      <c r="C3" s="66"/>
      <c r="D3" s="66"/>
      <c r="E3" s="66"/>
      <c r="F3" s="66"/>
      <c r="G3" s="66"/>
      <c r="H3" s="66"/>
      <c r="I3" s="66"/>
      <c r="J3" s="66"/>
      <c r="K3" s="66"/>
      <c r="L3" s="66"/>
      <c r="M3" s="67"/>
    </row>
    <row r="4" spans="2:13" ht="14.4" customHeight="1" x14ac:dyDescent="0.3">
      <c r="B4" s="68"/>
      <c r="C4" s="69"/>
      <c r="D4" s="69"/>
      <c r="E4" s="69"/>
      <c r="F4" s="69"/>
      <c r="G4" s="69"/>
      <c r="H4" s="69"/>
      <c r="I4" s="69"/>
      <c r="J4" s="69"/>
      <c r="K4" s="69"/>
      <c r="L4" s="69"/>
      <c r="M4" s="70"/>
    </row>
    <row r="6" spans="2:13" ht="14.4" customHeight="1" x14ac:dyDescent="0.3">
      <c r="B6" s="56" t="s">
        <v>71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8"/>
    </row>
    <row r="7" spans="2:13" ht="14.4" customHeight="1" x14ac:dyDescent="0.3">
      <c r="B7" s="71"/>
      <c r="C7" s="72"/>
      <c r="D7" s="72"/>
      <c r="E7" s="72"/>
      <c r="F7" s="72"/>
      <c r="G7" s="72"/>
      <c r="H7" s="72"/>
      <c r="I7" s="72"/>
      <c r="J7" s="72"/>
      <c r="K7" s="72"/>
      <c r="L7" s="72"/>
      <c r="M7" s="73"/>
    </row>
    <row r="8" spans="2:13" ht="14.4" customHeight="1" x14ac:dyDescent="0.3">
      <c r="B8" s="71" t="s">
        <v>72</v>
      </c>
      <c r="C8" s="72"/>
      <c r="D8" s="72"/>
      <c r="E8" s="72"/>
      <c r="F8" s="72"/>
      <c r="G8" s="72"/>
      <c r="H8" s="72"/>
      <c r="I8" s="72"/>
      <c r="J8" s="72"/>
      <c r="K8" s="72"/>
      <c r="L8" s="72"/>
      <c r="M8" s="73"/>
    </row>
    <row r="9" spans="2:13" ht="14.4" customHeight="1" x14ac:dyDescent="0.3">
      <c r="B9" s="71"/>
      <c r="C9" s="72"/>
      <c r="D9" s="72"/>
      <c r="E9" s="72"/>
      <c r="F9" s="72"/>
      <c r="G9" s="72"/>
      <c r="H9" s="72"/>
      <c r="I9" s="72"/>
      <c r="J9" s="72"/>
      <c r="K9" s="72"/>
      <c r="L9" s="72"/>
      <c r="M9" s="73"/>
    </row>
    <row r="10" spans="2:13" ht="14.4" customHeight="1" x14ac:dyDescent="0.3">
      <c r="B10" s="71" t="s">
        <v>73</v>
      </c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3"/>
    </row>
    <row r="11" spans="2:13" ht="14.4" customHeight="1" x14ac:dyDescent="0.3">
      <c r="B11" s="59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1"/>
    </row>
    <row r="13" spans="2:13" ht="14.4" customHeight="1" x14ac:dyDescent="0.3">
      <c r="B13" s="74" t="s">
        <v>39</v>
      </c>
      <c r="C13" s="75"/>
      <c r="D13" s="76"/>
      <c r="E13" s="83" t="s">
        <v>40</v>
      </c>
      <c r="F13" s="84"/>
      <c r="G13" s="85"/>
      <c r="H13" s="92" t="s">
        <v>75</v>
      </c>
      <c r="I13" s="93"/>
      <c r="J13" s="94"/>
      <c r="K13" s="101" t="s">
        <v>74</v>
      </c>
      <c r="L13" s="102"/>
      <c r="M13" s="103"/>
    </row>
    <row r="14" spans="2:13" ht="14.4" customHeight="1" x14ac:dyDescent="0.3">
      <c r="B14" s="77"/>
      <c r="C14" s="78"/>
      <c r="D14" s="79"/>
      <c r="E14" s="86"/>
      <c r="F14" s="87"/>
      <c r="G14" s="88"/>
      <c r="H14" s="95"/>
      <c r="I14" s="96"/>
      <c r="J14" s="97"/>
      <c r="K14" s="104"/>
      <c r="L14" s="105"/>
      <c r="M14" s="106"/>
    </row>
    <row r="15" spans="2:13" ht="14.4" customHeight="1" x14ac:dyDescent="0.3">
      <c r="B15" s="80"/>
      <c r="C15" s="81"/>
      <c r="D15" s="82"/>
      <c r="E15" s="89"/>
      <c r="F15" s="90"/>
      <c r="G15" s="91"/>
      <c r="H15" s="98"/>
      <c r="I15" s="99"/>
      <c r="J15" s="100"/>
      <c r="K15" s="107"/>
      <c r="L15" s="108"/>
      <c r="M15" s="109"/>
    </row>
    <row r="16" spans="2:13" ht="14.4" customHeight="1" x14ac:dyDescent="0.3">
      <c r="B16" s="20" t="s">
        <v>76</v>
      </c>
      <c r="C16" s="21"/>
      <c r="D16" s="22"/>
      <c r="E16" s="29" t="s">
        <v>77</v>
      </c>
      <c r="F16" s="30"/>
      <c r="G16" s="31"/>
      <c r="H16" s="38" t="s">
        <v>78</v>
      </c>
      <c r="I16" s="39"/>
      <c r="J16" s="40"/>
      <c r="K16" s="47" t="s">
        <v>79</v>
      </c>
      <c r="L16" s="48"/>
      <c r="M16" s="49"/>
    </row>
    <row r="17" spans="2:13" ht="14.4" customHeight="1" x14ac:dyDescent="0.3">
      <c r="B17" s="23"/>
      <c r="C17" s="24"/>
      <c r="D17" s="25"/>
      <c r="E17" s="32"/>
      <c r="F17" s="33"/>
      <c r="G17" s="34"/>
      <c r="H17" s="41"/>
      <c r="I17" s="42"/>
      <c r="J17" s="43"/>
      <c r="K17" s="50"/>
      <c r="L17" s="51"/>
      <c r="M17" s="52"/>
    </row>
    <row r="18" spans="2:13" ht="14.4" customHeight="1" x14ac:dyDescent="0.3">
      <c r="B18" s="23"/>
      <c r="C18" s="24"/>
      <c r="D18" s="25"/>
      <c r="E18" s="32"/>
      <c r="F18" s="33"/>
      <c r="G18" s="34"/>
      <c r="H18" s="41"/>
      <c r="I18" s="42"/>
      <c r="J18" s="43"/>
      <c r="K18" s="50"/>
      <c r="L18" s="51"/>
      <c r="M18" s="52"/>
    </row>
    <row r="19" spans="2:13" ht="14.4" customHeight="1" x14ac:dyDescent="0.3">
      <c r="B19" s="23"/>
      <c r="C19" s="24"/>
      <c r="D19" s="25"/>
      <c r="E19" s="32"/>
      <c r="F19" s="33"/>
      <c r="G19" s="34"/>
      <c r="H19" s="41"/>
      <c r="I19" s="42"/>
      <c r="J19" s="43"/>
      <c r="K19" s="50"/>
      <c r="L19" s="51"/>
      <c r="M19" s="52"/>
    </row>
    <row r="20" spans="2:13" ht="14.4" customHeight="1" x14ac:dyDescent="0.3">
      <c r="B20" s="23"/>
      <c r="C20" s="24"/>
      <c r="D20" s="25"/>
      <c r="E20" s="32"/>
      <c r="F20" s="33"/>
      <c r="G20" s="34"/>
      <c r="H20" s="41"/>
      <c r="I20" s="42"/>
      <c r="J20" s="43"/>
      <c r="K20" s="50"/>
      <c r="L20" s="51"/>
      <c r="M20" s="52"/>
    </row>
    <row r="21" spans="2:13" ht="14.4" customHeight="1" x14ac:dyDescent="0.3">
      <c r="B21" s="23"/>
      <c r="C21" s="24"/>
      <c r="D21" s="25"/>
      <c r="E21" s="32"/>
      <c r="F21" s="33"/>
      <c r="G21" s="34"/>
      <c r="H21" s="41"/>
      <c r="I21" s="42"/>
      <c r="J21" s="43"/>
      <c r="K21" s="50"/>
      <c r="L21" s="51"/>
      <c r="M21" s="52"/>
    </row>
    <row r="22" spans="2:13" ht="14.4" customHeight="1" x14ac:dyDescent="0.3">
      <c r="B22" s="26"/>
      <c r="C22" s="27"/>
      <c r="D22" s="28"/>
      <c r="E22" s="35"/>
      <c r="F22" s="36"/>
      <c r="G22" s="37"/>
      <c r="H22" s="44"/>
      <c r="I22" s="45"/>
      <c r="J22" s="46"/>
      <c r="K22" s="53"/>
      <c r="L22" s="54"/>
      <c r="M22" s="55"/>
    </row>
    <row r="24" spans="2:13" ht="14.4" customHeight="1" x14ac:dyDescent="0.3">
      <c r="B24" s="56" t="s">
        <v>80</v>
      </c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8"/>
    </row>
    <row r="25" spans="2:13" ht="14.4" customHeight="1" x14ac:dyDescent="0.3">
      <c r="B25" s="59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1"/>
    </row>
    <row r="29" spans="2:13" ht="14.4" customHeight="1" x14ac:dyDescent="0.3">
      <c r="C29" s="9" t="s">
        <v>81</v>
      </c>
      <c r="I29" s="9" t="s">
        <v>84</v>
      </c>
    </row>
    <row r="30" spans="2:13" ht="14.4" customHeight="1" x14ac:dyDescent="0.3">
      <c r="C30" s="9" t="s">
        <v>82</v>
      </c>
      <c r="I30" s="9" t="s">
        <v>85</v>
      </c>
    </row>
    <row r="31" spans="2:13" ht="14.4" customHeight="1" x14ac:dyDescent="0.3">
      <c r="C31" s="9" t="s">
        <v>83</v>
      </c>
      <c r="I31" s="9" t="s">
        <v>86</v>
      </c>
    </row>
  </sheetData>
  <mergeCells count="13">
    <mergeCell ref="B2:M4"/>
    <mergeCell ref="B10:M11"/>
    <mergeCell ref="B8:M9"/>
    <mergeCell ref="B6:M7"/>
    <mergeCell ref="B13:D15"/>
    <mergeCell ref="E13:G15"/>
    <mergeCell ref="H13:J15"/>
    <mergeCell ref="K13:M15"/>
    <mergeCell ref="B16:D22"/>
    <mergeCell ref="E16:G22"/>
    <mergeCell ref="H16:J22"/>
    <mergeCell ref="K16:M22"/>
    <mergeCell ref="B24:M25"/>
  </mergeCells>
  <phoneticPr fontId="10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D6849-7E95-4158-9599-14A804DE713C}">
  <dimension ref="B2:W48"/>
  <sheetViews>
    <sheetView tabSelected="1" topLeftCell="A13" zoomScale="80" zoomScaleNormal="80" workbookViewId="0">
      <selection activeCell="P19" sqref="P19"/>
    </sheetView>
  </sheetViews>
  <sheetFormatPr defaultColWidth="11.77734375" defaultRowHeight="19.8" customHeight="1" x14ac:dyDescent="0.3"/>
  <cols>
    <col min="1" max="1" width="3.77734375" style="8" customWidth="1"/>
    <col min="2" max="2" width="11.77734375" style="8"/>
    <col min="3" max="3" width="11.77734375" style="8" customWidth="1"/>
    <col min="4" max="7" width="11.77734375" style="8"/>
    <col min="8" max="8" width="3.77734375" style="8" customWidth="1"/>
    <col min="9" max="9" width="11.77734375" style="8"/>
    <col min="10" max="10" width="16.88671875" style="8" customWidth="1"/>
    <col min="11" max="16" width="11.77734375" style="8"/>
    <col min="17" max="17" width="3.77734375" style="8" customWidth="1"/>
    <col min="18" max="18" width="11.77734375" style="8"/>
    <col min="19" max="19" width="11.77734375" style="8" customWidth="1"/>
    <col min="20" max="16384" width="11.77734375" style="8"/>
  </cols>
  <sheetData>
    <row r="2" spans="2:23" ht="19.8" customHeight="1" x14ac:dyDescent="0.3">
      <c r="B2" s="62" t="s">
        <v>39</v>
      </c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4"/>
    </row>
    <row r="3" spans="2:23" ht="19.8" customHeight="1" x14ac:dyDescent="0.3">
      <c r="B3" s="65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7"/>
    </row>
    <row r="4" spans="2:23" ht="19.8" customHeight="1" x14ac:dyDescent="0.3">
      <c r="B4" s="68"/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70"/>
    </row>
    <row r="6" spans="2:23" ht="19.8" customHeight="1" x14ac:dyDescent="0.3">
      <c r="B6" s="144" t="s">
        <v>46</v>
      </c>
      <c r="C6" s="145"/>
      <c r="D6" s="145"/>
      <c r="E6" s="145"/>
      <c r="F6" s="145"/>
      <c r="G6" s="146"/>
      <c r="H6" s="10"/>
      <c r="I6" s="144" t="s">
        <v>54</v>
      </c>
      <c r="J6" s="145"/>
      <c r="K6" s="145"/>
      <c r="L6" s="145"/>
      <c r="M6" s="145"/>
      <c r="N6" s="145"/>
      <c r="O6" s="145"/>
      <c r="P6" s="146"/>
      <c r="Q6" s="10"/>
      <c r="R6" s="144" t="s">
        <v>47</v>
      </c>
      <c r="S6" s="145"/>
      <c r="T6" s="145"/>
      <c r="U6" s="145"/>
      <c r="V6" s="145"/>
      <c r="W6" s="146"/>
    </row>
    <row r="7" spans="2:23" ht="19.8" customHeight="1" x14ac:dyDescent="0.3">
      <c r="B7" s="147"/>
      <c r="C7" s="148"/>
      <c r="D7" s="148"/>
      <c r="E7" s="148"/>
      <c r="F7" s="148"/>
      <c r="G7" s="149"/>
      <c r="H7" s="10"/>
      <c r="I7" s="147"/>
      <c r="J7" s="148"/>
      <c r="K7" s="148"/>
      <c r="L7" s="148"/>
      <c r="M7" s="148"/>
      <c r="N7" s="148"/>
      <c r="O7" s="148"/>
      <c r="P7" s="149"/>
      <c r="Q7" s="10"/>
      <c r="R7" s="147"/>
      <c r="S7" s="148"/>
      <c r="T7" s="148"/>
      <c r="U7" s="148"/>
      <c r="V7" s="148"/>
      <c r="W7" s="149"/>
    </row>
    <row r="9" spans="2:23" ht="19.8" customHeight="1" x14ac:dyDescent="0.3">
      <c r="C9" s="124" t="s">
        <v>48</v>
      </c>
      <c r="D9" s="125"/>
      <c r="E9" s="125"/>
      <c r="F9" s="126"/>
      <c r="I9" s="124" t="s">
        <v>54</v>
      </c>
      <c r="J9" s="125"/>
      <c r="K9" s="125"/>
      <c r="L9" s="126"/>
      <c r="M9" s="10"/>
      <c r="N9" s="124" t="s">
        <v>55</v>
      </c>
      <c r="O9" s="125"/>
      <c r="P9" s="126"/>
      <c r="S9" s="124" t="s">
        <v>48</v>
      </c>
      <c r="T9" s="125"/>
      <c r="U9" s="125"/>
      <c r="V9" s="126"/>
    </row>
    <row r="10" spans="2:23" ht="19.8" customHeight="1" x14ac:dyDescent="0.3">
      <c r="C10" s="119">
        <f>SUMIFS(Pendapatan!G6:G15, Pendapatan!E6:E15, "Digital")
+SUMIFS(Pendapatan!G6:G15, Pendapatan!D6:D15, "Deposit")
-SUMIFS(Pendapatan!G6:G15, Pendapatan!D6:D15, "Tarik Tunai")</f>
        <v>0</v>
      </c>
      <c r="D10" s="120"/>
      <c r="E10" s="120"/>
      <c r="F10" s="121"/>
      <c r="I10" s="3" t="s">
        <v>56</v>
      </c>
      <c r="J10" s="119">
        <f>SUMIFS(Pengeluaran!$G$9:$G$68, Pengeluaran!$F$9:$F$68, "&gt;="&amp;B44, Pengeluaran!$F$9:$F$68, "&lt;="&amp;E44)
+ SUMIFS(Pengeluaran!$O$9:$O$68, Pengeluaran!$N$9:$N$68, "&gt;="&amp;B44, Pengeluaran!$N$9:$N$68, "&lt;="&amp;E44)</f>
        <v>0</v>
      </c>
      <c r="K10" s="120"/>
      <c r="L10" s="121"/>
      <c r="M10" s="10"/>
      <c r="N10" s="3" t="s">
        <v>57</v>
      </c>
      <c r="O10" s="122">
        <f ca="1" xml:space="preserve"> C13 / (DAY(EOMONTH(TODAY(),0)) - DAY(TODAY()) + 1)</f>
        <v>0</v>
      </c>
      <c r="P10" s="123"/>
      <c r="S10" s="119">
        <f>SUMIFS(Pendapatan!G6:G15, Pendapatan!E6:E15, "Tunai")
+SUMIFS(Pendapatan!G6:G15, Pendapatan!D6:D15, "Tarik Tunai")
-SUMIFS(Pendapatan!G6:G15, Pendapatan!D6:D15, "Deposit")</f>
        <v>0</v>
      </c>
      <c r="T10" s="120"/>
      <c r="U10" s="120"/>
      <c r="V10" s="121"/>
    </row>
    <row r="11" spans="2:23" ht="19.8" customHeight="1" x14ac:dyDescent="0.3">
      <c r="C11" s="13"/>
      <c r="D11" s="13"/>
      <c r="E11" s="10"/>
      <c r="F11" s="10"/>
      <c r="I11" s="3" t="s">
        <v>58</v>
      </c>
      <c r="J11" s="119">
        <f>SUMIFS(Pengeluaran!$G$9:$G$68, Pengeluaran!$F$9:$F$68, "&gt;="&amp;B45, Pengeluaran!$F$9:$F$68, "&lt;="&amp;E45)
+ SUMIFS(Pengeluaran!$O$9:$O$68, Pengeluaran!$N$9:$N$68, "&gt;="&amp;B45, Pengeluaran!$N$9:$N$68, "&lt;="&amp;E45)</f>
        <v>0</v>
      </c>
      <c r="K11" s="120"/>
      <c r="L11" s="121"/>
      <c r="M11" s="10"/>
      <c r="N11" s="3" t="s">
        <v>59</v>
      </c>
      <c r="O11" s="122">
        <f ca="1" xml:space="preserve"> S13 / (DAY(EOMONTH(TODAY(),0)) - DAY(TODAY()) + 1)</f>
        <v>0</v>
      </c>
      <c r="P11" s="123"/>
      <c r="S11" s="13"/>
      <c r="T11" s="13"/>
      <c r="U11" s="10"/>
      <c r="V11" s="10"/>
    </row>
    <row r="12" spans="2:23" ht="19.8" customHeight="1" x14ac:dyDescent="0.3">
      <c r="C12" s="124" t="s">
        <v>49</v>
      </c>
      <c r="D12" s="125"/>
      <c r="E12" s="125"/>
      <c r="F12" s="126"/>
      <c r="I12" s="3" t="s">
        <v>60</v>
      </c>
      <c r="J12" s="119">
        <f>SUMIFS(Pengeluaran!$G$9:$G$68, Pengeluaran!$F$9:$F$68, "&gt;="&amp;B46, Pengeluaran!$F$9:$F$68, "&lt;="&amp;E46)
+ SUMIFS(Pengeluaran!$O$9:$O$68, Pengeluaran!$N$9:$N$68, "&gt;="&amp;B46, Pengeluaran!$N$9:$N$68, "&lt;="&amp;E46)</f>
        <v>0</v>
      </c>
      <c r="K12" s="120"/>
      <c r="L12" s="121"/>
      <c r="M12" s="10"/>
      <c r="N12" s="10"/>
      <c r="O12" s="10"/>
      <c r="P12" s="10"/>
      <c r="S12" s="124" t="s">
        <v>49</v>
      </c>
      <c r="T12" s="125"/>
      <c r="U12" s="125"/>
      <c r="V12" s="126"/>
    </row>
    <row r="13" spans="2:23" ht="19.8" customHeight="1" x14ac:dyDescent="0.3">
      <c r="C13" s="119">
        <f>C10-SUMIF(Pengeluaran!E2:E61, "Digital", Pengeluaran!G2:G61)-SUMIF(Pengeluaran!M2:M61, "Digital", Pengeluaran!O2:O61)</f>
        <v>0</v>
      </c>
      <c r="D13" s="120"/>
      <c r="E13" s="120"/>
      <c r="F13" s="121"/>
      <c r="I13" s="3" t="s">
        <v>61</v>
      </c>
      <c r="J13" s="119">
        <f>SUMIFS(Pengeluaran!$G$9:$G$68, Pengeluaran!$F$9:$F$68, "&gt;="&amp;B47, Pengeluaran!$F$9:$F$68, "&lt;="&amp;E47)
+ SUMIFS(Pengeluaran!$O$9:$O$68, Pengeluaran!$N$9:$N$68, "&gt;="&amp;B47, Pengeluaran!$N$9:$N$68, "&lt;="&amp;E47)</f>
        <v>0</v>
      </c>
      <c r="K13" s="120"/>
      <c r="L13" s="121"/>
      <c r="M13" s="10"/>
      <c r="N13" s="127" t="s">
        <v>62</v>
      </c>
      <c r="O13" s="127"/>
      <c r="P13" s="127"/>
      <c r="S13" s="119">
        <f>S10-SUMIF(Pengeluaran!E2:E61, "Tunai", Pengeluaran!G2:G61)-SUMIF(Pengeluaran!M2:M61, "Tunai", Pengeluaran!O2:O61)</f>
        <v>0</v>
      </c>
      <c r="T13" s="120"/>
      <c r="U13" s="120"/>
      <c r="V13" s="121"/>
    </row>
    <row r="14" spans="2:23" ht="19.8" customHeight="1" x14ac:dyDescent="0.3">
      <c r="I14" s="3" t="s">
        <v>63</v>
      </c>
      <c r="J14" s="119">
        <f>SUMIFS(Pengeluaran!$G$9:$G$68, Pengeluaran!$F$9:$F$68, "&gt;="&amp;B48, Pengeluaran!$F$9:$F$68, "&lt;="&amp;E48)
+ SUMIFS(Pengeluaran!$O$9:$O$68, Pengeluaran!$N$9:$N$68, "&gt;="&amp;B48, Pengeluaran!$N$9:$N$68, "&lt;="&amp;E48)</f>
        <v>0</v>
      </c>
      <c r="K14" s="120"/>
      <c r="L14" s="121"/>
      <c r="M14" s="10"/>
      <c r="N14" s="128">
        <f ca="1">DAY(EOMONTH(TODAY(),0)) - DAY(TODAY()) + 1</f>
        <v>28</v>
      </c>
      <c r="O14" s="128"/>
      <c r="P14" s="128"/>
    </row>
    <row r="17" spans="3:19" ht="19.8" customHeight="1" x14ac:dyDescent="0.3">
      <c r="J17" s="11">
        <f>J10</f>
        <v>0</v>
      </c>
    </row>
    <row r="18" spans="3:19" ht="19.8" customHeight="1" x14ac:dyDescent="0.3">
      <c r="J18" s="11">
        <f>J11</f>
        <v>0</v>
      </c>
    </row>
    <row r="19" spans="3:19" ht="19.8" customHeight="1" x14ac:dyDescent="0.3">
      <c r="J19" s="11">
        <f>J12</f>
        <v>0</v>
      </c>
    </row>
    <row r="20" spans="3:19" ht="19.8" customHeight="1" x14ac:dyDescent="0.3">
      <c r="C20" s="12">
        <f>SUMIF(Pengeluaran!E2:E61, "Digital", Pengeluaran!G2:G61)</f>
        <v>0</v>
      </c>
      <c r="J20" s="11">
        <f>J13</f>
        <v>0</v>
      </c>
    </row>
    <row r="21" spans="3:19" ht="19.8" customHeight="1" x14ac:dyDescent="0.3">
      <c r="C21" s="12">
        <f>SUMIF(Pengeluaran!M2:M61, "Digital", Pengeluaran!O2:O61)</f>
        <v>0</v>
      </c>
      <c r="J21" s="11">
        <f>J14</f>
        <v>0</v>
      </c>
      <c r="S21" s="12">
        <f>SUMIF(Pengeluaran!E2:E61, "Tunai", Pengeluaran!G2:G61)</f>
        <v>0</v>
      </c>
    </row>
    <row r="22" spans="3:19" ht="19.8" customHeight="1" x14ac:dyDescent="0.3">
      <c r="C22" s="11">
        <f>C13</f>
        <v>0</v>
      </c>
      <c r="J22" s="11">
        <f>(C10+S10)-SUM(J17:J21)</f>
        <v>0</v>
      </c>
      <c r="S22" s="12">
        <f>SUMIF(Pengeluaran!M2:M61, "Tunai", Pengeluaran!O2:O61)</f>
        <v>0</v>
      </c>
    </row>
    <row r="23" spans="3:19" ht="19.8" customHeight="1" x14ac:dyDescent="0.3">
      <c r="S23" s="11">
        <f>S13</f>
        <v>0</v>
      </c>
    </row>
    <row r="29" spans="3:19" ht="19.8" customHeight="1" x14ac:dyDescent="0.3">
      <c r="C29" s="12">
        <f>SUMIF(Pengeluaran!E2:E61, "Digital", Pengeluaran!G2:G61)</f>
        <v>0</v>
      </c>
      <c r="S29" s="12">
        <f>SUMIF(Pengeluaran!E2:E61, "Tunai", Pengeluaran!G2:G61)</f>
        <v>0</v>
      </c>
    </row>
    <row r="30" spans="3:19" ht="19.8" customHeight="1" x14ac:dyDescent="0.3">
      <c r="C30" s="12">
        <f>SUMIF(Pengeluaran!M2:M61, "Digital", Pengeluaran!O2:O61)</f>
        <v>0</v>
      </c>
      <c r="S30" s="12">
        <f>SUMIF(Pengeluaran!M2:M61, "Tunai", Pengeluaran!O2:O61)</f>
        <v>0</v>
      </c>
    </row>
    <row r="31" spans="3:19" ht="19.8" customHeight="1" x14ac:dyDescent="0.3">
      <c r="C31" s="11">
        <f>C13</f>
        <v>0</v>
      </c>
      <c r="S31" s="11">
        <f>S13</f>
        <v>0</v>
      </c>
    </row>
    <row r="40" spans="2:23" ht="19.8" customHeight="1" x14ac:dyDescent="0.3">
      <c r="B40" s="132" t="s">
        <v>51</v>
      </c>
      <c r="C40" s="133"/>
      <c r="D40" s="133"/>
      <c r="E40" s="133"/>
      <c r="F40" s="133"/>
      <c r="G40" s="134"/>
      <c r="I40" s="132" t="s">
        <v>64</v>
      </c>
      <c r="J40" s="133"/>
      <c r="K40" s="133"/>
      <c r="L40" s="133"/>
      <c r="M40" s="133"/>
      <c r="N40" s="133"/>
      <c r="O40" s="133"/>
      <c r="P40" s="134"/>
      <c r="Q40" s="10"/>
      <c r="R40" s="132" t="s">
        <v>65</v>
      </c>
      <c r="S40" s="133"/>
      <c r="T40" s="133"/>
      <c r="U40" s="133"/>
      <c r="V40" s="133"/>
      <c r="W40" s="134"/>
    </row>
    <row r="41" spans="2:23" ht="19.8" customHeight="1" x14ac:dyDescent="0.3">
      <c r="B41" s="135"/>
      <c r="C41" s="136"/>
      <c r="D41" s="136"/>
      <c r="E41" s="136"/>
      <c r="F41" s="136"/>
      <c r="G41" s="137"/>
      <c r="I41" s="135"/>
      <c r="J41" s="136"/>
      <c r="K41" s="136"/>
      <c r="L41" s="136"/>
      <c r="M41" s="136"/>
      <c r="N41" s="136"/>
      <c r="O41" s="136"/>
      <c r="P41" s="137"/>
      <c r="Q41" s="10"/>
      <c r="R41" s="135"/>
      <c r="S41" s="136"/>
      <c r="T41" s="136"/>
      <c r="U41" s="136"/>
      <c r="V41" s="136"/>
      <c r="W41" s="137"/>
    </row>
    <row r="42" spans="2:23" ht="19.8" customHeight="1" x14ac:dyDescent="0.3">
      <c r="B42" s="10"/>
      <c r="C42" s="10"/>
      <c r="D42" s="10"/>
      <c r="E42" s="10"/>
      <c r="F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</row>
    <row r="43" spans="2:23" ht="19.8" customHeight="1" x14ac:dyDescent="0.3">
      <c r="B43" s="129" t="s">
        <v>52</v>
      </c>
      <c r="C43" s="130"/>
      <c r="D43" s="131"/>
      <c r="E43" s="129" t="s">
        <v>53</v>
      </c>
      <c r="F43" s="130"/>
      <c r="G43" s="131"/>
      <c r="I43" s="56" t="s">
        <v>42</v>
      </c>
      <c r="J43" s="58"/>
      <c r="K43" s="113">
        <f>Pengeluaran!H9</f>
        <v>0</v>
      </c>
      <c r="L43" s="114"/>
      <c r="M43" s="114"/>
      <c r="N43" s="114"/>
      <c r="O43" s="114"/>
      <c r="P43" s="115"/>
      <c r="R43" s="56" t="s">
        <v>42</v>
      </c>
      <c r="S43" s="58"/>
      <c r="T43" s="138">
        <f>(C10+S10)*40%</f>
        <v>0</v>
      </c>
      <c r="U43" s="139"/>
      <c r="V43" s="139"/>
      <c r="W43" s="140"/>
    </row>
    <row r="44" spans="2:23" ht="19.8" customHeight="1" x14ac:dyDescent="0.3">
      <c r="B44" s="110">
        <v>45658</v>
      </c>
      <c r="C44" s="111"/>
      <c r="D44" s="112"/>
      <c r="E44" s="110">
        <v>45664</v>
      </c>
      <c r="F44" s="111"/>
      <c r="G44" s="112"/>
      <c r="I44" s="59"/>
      <c r="J44" s="61"/>
      <c r="K44" s="116"/>
      <c r="L44" s="117"/>
      <c r="M44" s="117"/>
      <c r="N44" s="117"/>
      <c r="O44" s="117"/>
      <c r="P44" s="118"/>
      <c r="R44" s="59"/>
      <c r="S44" s="61"/>
      <c r="T44" s="141"/>
      <c r="U44" s="142"/>
      <c r="V44" s="142"/>
      <c r="W44" s="143"/>
    </row>
    <row r="45" spans="2:23" ht="19.8" customHeight="1" x14ac:dyDescent="0.3">
      <c r="B45" s="110">
        <v>45665</v>
      </c>
      <c r="C45" s="111"/>
      <c r="D45" s="112"/>
      <c r="E45" s="110">
        <v>45671</v>
      </c>
      <c r="F45" s="111"/>
      <c r="G45" s="112"/>
    </row>
    <row r="46" spans="2:23" ht="19.8" customHeight="1" x14ac:dyDescent="0.3">
      <c r="B46" s="110">
        <v>45672</v>
      </c>
      <c r="C46" s="111"/>
      <c r="D46" s="112"/>
      <c r="E46" s="110">
        <v>45678</v>
      </c>
      <c r="F46" s="111"/>
      <c r="G46" s="112"/>
      <c r="I46" s="56" t="s">
        <v>66</v>
      </c>
      <c r="J46" s="58"/>
      <c r="K46" s="113">
        <f>Pengeluaran!P9</f>
        <v>0</v>
      </c>
      <c r="L46" s="114"/>
      <c r="M46" s="114"/>
      <c r="N46" s="114"/>
      <c r="O46" s="114"/>
      <c r="P46" s="115"/>
      <c r="R46" s="56" t="s">
        <v>66</v>
      </c>
      <c r="S46" s="58"/>
      <c r="T46" s="138">
        <f>(C10+S10)*60%</f>
        <v>0</v>
      </c>
      <c r="U46" s="139"/>
      <c r="V46" s="139"/>
      <c r="W46" s="140"/>
    </row>
    <row r="47" spans="2:23" ht="19.8" customHeight="1" x14ac:dyDescent="0.3">
      <c r="B47" s="110">
        <v>45679</v>
      </c>
      <c r="C47" s="111"/>
      <c r="D47" s="112"/>
      <c r="E47" s="110">
        <v>45685</v>
      </c>
      <c r="F47" s="111"/>
      <c r="G47" s="112"/>
      <c r="I47" s="59"/>
      <c r="J47" s="61"/>
      <c r="K47" s="116"/>
      <c r="L47" s="117"/>
      <c r="M47" s="117"/>
      <c r="N47" s="117"/>
      <c r="O47" s="117"/>
      <c r="P47" s="118"/>
      <c r="R47" s="59"/>
      <c r="S47" s="61"/>
      <c r="T47" s="141"/>
      <c r="U47" s="142"/>
      <c r="V47" s="142"/>
      <c r="W47" s="143"/>
    </row>
    <row r="48" spans="2:23" ht="19.8" customHeight="1" x14ac:dyDescent="0.3">
      <c r="B48" s="110">
        <v>45686</v>
      </c>
      <c r="C48" s="111"/>
      <c r="D48" s="112"/>
      <c r="E48" s="110">
        <v>45688</v>
      </c>
      <c r="F48" s="111"/>
      <c r="G48" s="112"/>
    </row>
  </sheetData>
  <mergeCells count="46">
    <mergeCell ref="N9:P9"/>
    <mergeCell ref="I9:L9"/>
    <mergeCell ref="B2:W4"/>
    <mergeCell ref="B6:G7"/>
    <mergeCell ref="I6:P7"/>
    <mergeCell ref="R6:W7"/>
    <mergeCell ref="C9:F9"/>
    <mergeCell ref="S9:V9"/>
    <mergeCell ref="T46:W47"/>
    <mergeCell ref="T43:W44"/>
    <mergeCell ref="R46:S47"/>
    <mergeCell ref="R43:S44"/>
    <mergeCell ref="R40:W41"/>
    <mergeCell ref="J14:L14"/>
    <mergeCell ref="N13:P13"/>
    <mergeCell ref="N14:P14"/>
    <mergeCell ref="B46:D46"/>
    <mergeCell ref="B47:D47"/>
    <mergeCell ref="E43:G43"/>
    <mergeCell ref="E44:G44"/>
    <mergeCell ref="E45:G45"/>
    <mergeCell ref="E46:G46"/>
    <mergeCell ref="E47:G47"/>
    <mergeCell ref="B43:D43"/>
    <mergeCell ref="B44:D44"/>
    <mergeCell ref="B45:D45"/>
    <mergeCell ref="B40:G41"/>
    <mergeCell ref="I40:P41"/>
    <mergeCell ref="J13:L13"/>
    <mergeCell ref="C13:F13"/>
    <mergeCell ref="C10:F10"/>
    <mergeCell ref="S13:V13"/>
    <mergeCell ref="S10:V10"/>
    <mergeCell ref="O11:P11"/>
    <mergeCell ref="J10:L10"/>
    <mergeCell ref="O10:P10"/>
    <mergeCell ref="C12:F12"/>
    <mergeCell ref="S12:V12"/>
    <mergeCell ref="J11:L11"/>
    <mergeCell ref="J12:L12"/>
    <mergeCell ref="E48:G48"/>
    <mergeCell ref="B48:D48"/>
    <mergeCell ref="K46:P47"/>
    <mergeCell ref="K43:P44"/>
    <mergeCell ref="I46:J47"/>
    <mergeCell ref="I43:J44"/>
  </mergeCells>
  <conditionalFormatting sqref="K43">
    <cfRule type="dataBar" priority="2">
      <dataBar showValue="0">
        <cfvo type="num" val="0"/>
        <cfvo type="formula" val="($C$10+$S$10)*40%"/>
        <color rgb="FFFF0000"/>
      </dataBar>
      <extLst>
        <ext xmlns:x14="http://schemas.microsoft.com/office/spreadsheetml/2009/9/main" uri="{B025F937-C7B1-47D3-B67F-A62EFF666E3E}">
          <x14:id>{5646B469-FF57-42D0-9BBE-FDC899FCFD0F}</x14:id>
        </ext>
      </extLst>
    </cfRule>
  </conditionalFormatting>
  <conditionalFormatting sqref="K46">
    <cfRule type="dataBar" priority="1">
      <dataBar showValue="0">
        <cfvo type="num" val="0"/>
        <cfvo type="formula" val="($C$10+$S$10)*60%"/>
        <color rgb="FFFFC000"/>
      </dataBar>
      <extLst>
        <ext xmlns:x14="http://schemas.microsoft.com/office/spreadsheetml/2009/9/main" uri="{B025F937-C7B1-47D3-B67F-A62EFF666E3E}">
          <x14:id>{206CED66-3B4E-4B6D-B128-7E37D541D3DA}</x14:id>
        </ext>
      </extLst>
    </cfRule>
  </conditionalFormatting>
  <conditionalFormatting sqref="N14">
    <cfRule type="cellIs" dxfId="77" priority="8" operator="lessThan">
      <formula>7</formula>
    </cfRule>
    <cfRule type="cellIs" dxfId="76" priority="9" operator="between">
      <formula>14</formula>
      <formula>6</formula>
    </cfRule>
    <cfRule type="cellIs" dxfId="75" priority="10" operator="between">
      <formula>20</formula>
      <formula>13</formula>
    </cfRule>
    <cfRule type="cellIs" dxfId="74" priority="11" operator="between">
      <formula>28</formula>
      <formula>20</formula>
    </cfRule>
    <cfRule type="cellIs" dxfId="73" priority="12" operator="greaterThan">
      <formula>28</formula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646B469-FF57-42D0-9BBE-FDC899FCFD0F}">
            <x14:dataBar minLength="0" maxLength="100" border="1" gradient="0" negativeBarBorderColorSameAsPositive="0">
              <x14:cfvo type="num">
                <xm:f>0</xm:f>
              </x14:cfvo>
              <x14:cfvo type="formula">
                <xm:f>($C$10+$S$10)*40%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K43</xm:sqref>
        </x14:conditionalFormatting>
        <x14:conditionalFormatting xmlns:xm="http://schemas.microsoft.com/office/excel/2006/main">
          <x14:cfRule type="dataBar" id="{206CED66-3B4E-4B6D-B128-7E37D541D3DA}">
            <x14:dataBar minLength="0" maxLength="100" gradient="0">
              <x14:cfvo type="num">
                <xm:f>0</xm:f>
              </x14:cfvo>
              <x14:cfvo type="formula">
                <xm:f>($C$10+$S$10)*60%</xm:f>
              </x14:cfvo>
              <x14:negativeFillColor rgb="FFFF0000"/>
              <x14:axisColor rgb="FF000000"/>
            </x14:dataBar>
          </x14:cfRule>
          <xm:sqref>K46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A6C97-89A0-4FA1-BFF1-08BF0F75621B}">
  <dimension ref="B2:P68"/>
  <sheetViews>
    <sheetView zoomScale="90" zoomScaleNormal="90" workbookViewId="0">
      <selection activeCell="H14" sqref="H14"/>
    </sheetView>
  </sheetViews>
  <sheetFormatPr defaultRowHeight="14.4" customHeight="1" x14ac:dyDescent="0.3"/>
  <cols>
    <col min="1" max="1" width="3.77734375" style="8" customWidth="1"/>
    <col min="2" max="2" width="5.6640625" style="8" customWidth="1"/>
    <col min="3" max="4" width="20.5546875" style="8" customWidth="1"/>
    <col min="5" max="6" width="12.77734375" style="8" customWidth="1"/>
    <col min="7" max="8" width="15.5546875" style="8" customWidth="1"/>
    <col min="9" max="9" width="3.77734375" style="8" customWidth="1"/>
    <col min="10" max="10" width="5.6640625" style="8" customWidth="1"/>
    <col min="11" max="12" width="20.5546875" style="8" customWidth="1"/>
    <col min="13" max="14" width="12.77734375" style="8" customWidth="1"/>
    <col min="15" max="16" width="15.5546875" style="8" customWidth="1"/>
    <col min="17" max="16384" width="8.88671875" style="8"/>
  </cols>
  <sheetData>
    <row r="2" spans="2:16" ht="14.4" customHeight="1" x14ac:dyDescent="0.3">
      <c r="B2" s="62" t="s">
        <v>40</v>
      </c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4"/>
    </row>
    <row r="3" spans="2:16" ht="14.4" customHeight="1" x14ac:dyDescent="0.3">
      <c r="B3" s="65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7"/>
    </row>
    <row r="4" spans="2:16" ht="14.4" customHeight="1" x14ac:dyDescent="0.3">
      <c r="B4" s="68"/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  <c r="N4" s="69"/>
      <c r="O4" s="69"/>
      <c r="P4" s="70"/>
    </row>
    <row r="6" spans="2:16" ht="14.4" customHeight="1" x14ac:dyDescent="0.3">
      <c r="B6" s="132" t="s">
        <v>42</v>
      </c>
      <c r="C6" s="133"/>
      <c r="D6" s="133"/>
      <c r="E6" s="133"/>
      <c r="F6" s="133"/>
      <c r="G6" s="133"/>
      <c r="H6" s="134"/>
      <c r="J6" s="132" t="s">
        <v>45</v>
      </c>
      <c r="K6" s="133"/>
      <c r="L6" s="133"/>
      <c r="M6" s="133"/>
      <c r="N6" s="133"/>
      <c r="O6" s="133"/>
      <c r="P6" s="134"/>
    </row>
    <row r="7" spans="2:16" ht="14.4" customHeight="1" x14ac:dyDescent="0.3">
      <c r="B7" s="135"/>
      <c r="C7" s="136"/>
      <c r="D7" s="136"/>
      <c r="E7" s="136"/>
      <c r="F7" s="136"/>
      <c r="G7" s="136"/>
      <c r="H7" s="137"/>
      <c r="J7" s="135"/>
      <c r="K7" s="136"/>
      <c r="L7" s="136"/>
      <c r="M7" s="136"/>
      <c r="N7" s="136"/>
      <c r="O7" s="136"/>
      <c r="P7" s="137"/>
    </row>
    <row r="8" spans="2:16" ht="14.4" customHeight="1" x14ac:dyDescent="0.3">
      <c r="B8" s="14" t="s">
        <v>3</v>
      </c>
      <c r="C8" s="14" t="s">
        <v>4</v>
      </c>
      <c r="D8" s="14" t="s">
        <v>5</v>
      </c>
      <c r="E8" s="14" t="s">
        <v>44</v>
      </c>
      <c r="F8" s="14" t="s">
        <v>6</v>
      </c>
      <c r="G8" s="14" t="s">
        <v>7</v>
      </c>
      <c r="H8" s="14" t="s">
        <v>8</v>
      </c>
      <c r="J8" s="14" t="s">
        <v>3</v>
      </c>
      <c r="K8" s="14" t="s">
        <v>4</v>
      </c>
      <c r="L8" s="14" t="s">
        <v>5</v>
      </c>
      <c r="M8" s="14" t="s">
        <v>44</v>
      </c>
      <c r="N8" s="14" t="s">
        <v>6</v>
      </c>
      <c r="O8" s="14" t="s">
        <v>7</v>
      </c>
      <c r="P8" s="14" t="s">
        <v>8</v>
      </c>
    </row>
    <row r="9" spans="2:16" ht="14.4" customHeight="1" x14ac:dyDescent="0.3">
      <c r="B9" s="14">
        <v>1</v>
      </c>
      <c r="C9" s="14" t="s">
        <v>43</v>
      </c>
      <c r="D9" s="14" t="s">
        <v>15</v>
      </c>
      <c r="E9" s="15" t="s">
        <v>15</v>
      </c>
      <c r="F9" s="16"/>
      <c r="G9" s="17"/>
      <c r="H9" s="18">
        <f>SUM(G9:G68)</f>
        <v>0</v>
      </c>
      <c r="J9" s="14">
        <v>1</v>
      </c>
      <c r="K9" s="14" t="s">
        <v>43</v>
      </c>
      <c r="L9" s="15" t="s">
        <v>15</v>
      </c>
      <c r="M9" s="15" t="s">
        <v>15</v>
      </c>
      <c r="N9" s="16"/>
      <c r="O9" s="17"/>
      <c r="P9" s="19">
        <f>SUM(O9:O68)</f>
        <v>0</v>
      </c>
    </row>
    <row r="10" spans="2:16" ht="14.4" customHeight="1" x14ac:dyDescent="0.3">
      <c r="B10" s="14">
        <v>2</v>
      </c>
      <c r="C10" s="14" t="s">
        <v>43</v>
      </c>
      <c r="D10" s="14" t="s">
        <v>15</v>
      </c>
      <c r="E10" s="15" t="s">
        <v>15</v>
      </c>
      <c r="F10" s="16"/>
      <c r="G10" s="17"/>
      <c r="J10" s="14">
        <v>2</v>
      </c>
      <c r="K10" s="14" t="s">
        <v>43</v>
      </c>
      <c r="L10" s="15" t="s">
        <v>15</v>
      </c>
      <c r="M10" s="15" t="s">
        <v>15</v>
      </c>
      <c r="N10" s="16"/>
      <c r="O10" s="17"/>
    </row>
    <row r="11" spans="2:16" ht="14.4" customHeight="1" x14ac:dyDescent="0.3">
      <c r="B11" s="14">
        <v>3</v>
      </c>
      <c r="C11" s="14" t="s">
        <v>43</v>
      </c>
      <c r="D11" s="14" t="s">
        <v>15</v>
      </c>
      <c r="E11" s="15" t="s">
        <v>15</v>
      </c>
      <c r="F11" s="16"/>
      <c r="G11" s="17"/>
      <c r="J11" s="14">
        <v>3</v>
      </c>
      <c r="K11" s="14" t="s">
        <v>43</v>
      </c>
      <c r="L11" s="15" t="s">
        <v>15</v>
      </c>
      <c r="M11" s="15" t="s">
        <v>15</v>
      </c>
      <c r="N11" s="16"/>
      <c r="O11" s="17"/>
    </row>
    <row r="12" spans="2:16" ht="14.4" customHeight="1" x14ac:dyDescent="0.3">
      <c r="B12" s="14">
        <v>4</v>
      </c>
      <c r="C12" s="14" t="s">
        <v>43</v>
      </c>
      <c r="D12" s="14" t="s">
        <v>15</v>
      </c>
      <c r="E12" s="15" t="s">
        <v>15</v>
      </c>
      <c r="F12" s="16"/>
      <c r="G12" s="17"/>
      <c r="J12" s="14">
        <v>4</v>
      </c>
      <c r="K12" s="14" t="s">
        <v>43</v>
      </c>
      <c r="L12" s="15" t="s">
        <v>15</v>
      </c>
      <c r="M12" s="15" t="s">
        <v>15</v>
      </c>
      <c r="N12" s="16"/>
      <c r="O12" s="17"/>
    </row>
    <row r="13" spans="2:16" ht="14.4" customHeight="1" x14ac:dyDescent="0.3">
      <c r="B13" s="14">
        <v>5</v>
      </c>
      <c r="C13" s="14" t="s">
        <v>43</v>
      </c>
      <c r="D13" s="14" t="s">
        <v>15</v>
      </c>
      <c r="E13" s="15" t="s">
        <v>15</v>
      </c>
      <c r="F13" s="16"/>
      <c r="G13" s="17"/>
      <c r="J13" s="14">
        <v>5</v>
      </c>
      <c r="K13" s="14" t="s">
        <v>43</v>
      </c>
      <c r="L13" s="15" t="s">
        <v>15</v>
      </c>
      <c r="M13" s="15" t="s">
        <v>15</v>
      </c>
      <c r="N13" s="16"/>
      <c r="O13" s="17"/>
    </row>
    <row r="14" spans="2:16" ht="14.4" customHeight="1" x14ac:dyDescent="0.3">
      <c r="B14" s="14">
        <v>6</v>
      </c>
      <c r="C14" s="14" t="s">
        <v>43</v>
      </c>
      <c r="D14" s="14" t="s">
        <v>15</v>
      </c>
      <c r="E14" s="15" t="s">
        <v>15</v>
      </c>
      <c r="F14" s="14"/>
      <c r="G14" s="17"/>
      <c r="J14" s="14">
        <v>6</v>
      </c>
      <c r="K14" s="14" t="s">
        <v>43</v>
      </c>
      <c r="L14" s="15" t="s">
        <v>15</v>
      </c>
      <c r="M14" s="15" t="s">
        <v>15</v>
      </c>
      <c r="N14" s="14"/>
      <c r="O14" s="17"/>
    </row>
    <row r="15" spans="2:16" ht="14.4" customHeight="1" x14ac:dyDescent="0.3">
      <c r="B15" s="14">
        <v>7</v>
      </c>
      <c r="C15" s="14" t="s">
        <v>43</v>
      </c>
      <c r="D15" s="14" t="s">
        <v>15</v>
      </c>
      <c r="E15" s="15" t="s">
        <v>15</v>
      </c>
      <c r="F15" s="14"/>
      <c r="G15" s="17"/>
      <c r="J15" s="14">
        <v>7</v>
      </c>
      <c r="K15" s="14" t="s">
        <v>43</v>
      </c>
      <c r="L15" s="15" t="s">
        <v>15</v>
      </c>
      <c r="M15" s="15" t="s">
        <v>15</v>
      </c>
      <c r="N15" s="14"/>
      <c r="O15" s="17"/>
    </row>
    <row r="16" spans="2:16" ht="14.4" customHeight="1" x14ac:dyDescent="0.3">
      <c r="B16" s="14">
        <v>8</v>
      </c>
      <c r="C16" s="14" t="s">
        <v>43</v>
      </c>
      <c r="D16" s="14" t="s">
        <v>15</v>
      </c>
      <c r="E16" s="15" t="s">
        <v>15</v>
      </c>
      <c r="F16" s="14"/>
      <c r="G16" s="17"/>
      <c r="J16" s="14">
        <v>8</v>
      </c>
      <c r="K16" s="14" t="s">
        <v>43</v>
      </c>
      <c r="L16" s="15" t="s">
        <v>15</v>
      </c>
      <c r="M16" s="15" t="s">
        <v>15</v>
      </c>
      <c r="N16" s="14"/>
      <c r="O16" s="17"/>
    </row>
    <row r="17" spans="2:15" ht="14.4" customHeight="1" x14ac:dyDescent="0.3">
      <c r="B17" s="14">
        <v>9</v>
      </c>
      <c r="C17" s="14" t="s">
        <v>43</v>
      </c>
      <c r="D17" s="14" t="s">
        <v>15</v>
      </c>
      <c r="E17" s="15" t="s">
        <v>15</v>
      </c>
      <c r="F17" s="14"/>
      <c r="G17" s="17"/>
      <c r="J17" s="14">
        <v>9</v>
      </c>
      <c r="K17" s="14" t="s">
        <v>43</v>
      </c>
      <c r="L17" s="15" t="s">
        <v>15</v>
      </c>
      <c r="M17" s="15" t="s">
        <v>15</v>
      </c>
      <c r="N17" s="14"/>
      <c r="O17" s="17"/>
    </row>
    <row r="18" spans="2:15" ht="14.4" customHeight="1" x14ac:dyDescent="0.3">
      <c r="B18" s="14">
        <v>10</v>
      </c>
      <c r="C18" s="14" t="s">
        <v>43</v>
      </c>
      <c r="D18" s="14" t="s">
        <v>15</v>
      </c>
      <c r="E18" s="15" t="s">
        <v>15</v>
      </c>
      <c r="F18" s="14"/>
      <c r="G18" s="17"/>
      <c r="J18" s="14">
        <v>10</v>
      </c>
      <c r="K18" s="14" t="s">
        <v>43</v>
      </c>
      <c r="L18" s="15" t="s">
        <v>15</v>
      </c>
      <c r="M18" s="15" t="s">
        <v>15</v>
      </c>
      <c r="N18" s="14"/>
      <c r="O18" s="17"/>
    </row>
    <row r="19" spans="2:15" ht="14.4" customHeight="1" x14ac:dyDescent="0.3">
      <c r="B19" s="14">
        <v>11</v>
      </c>
      <c r="C19" s="14" t="s">
        <v>43</v>
      </c>
      <c r="D19" s="14" t="s">
        <v>15</v>
      </c>
      <c r="E19" s="15" t="s">
        <v>15</v>
      </c>
      <c r="F19" s="14"/>
      <c r="G19" s="17"/>
      <c r="J19" s="14">
        <v>11</v>
      </c>
      <c r="K19" s="14" t="s">
        <v>43</v>
      </c>
      <c r="L19" s="15" t="s">
        <v>15</v>
      </c>
      <c r="M19" s="15" t="s">
        <v>15</v>
      </c>
      <c r="N19" s="14"/>
      <c r="O19" s="17"/>
    </row>
    <row r="20" spans="2:15" ht="14.4" customHeight="1" x14ac:dyDescent="0.3">
      <c r="B20" s="14">
        <v>12</v>
      </c>
      <c r="C20" s="14" t="s">
        <v>43</v>
      </c>
      <c r="D20" s="14" t="s">
        <v>15</v>
      </c>
      <c r="E20" s="15" t="s">
        <v>15</v>
      </c>
      <c r="F20" s="14"/>
      <c r="G20" s="17"/>
      <c r="J20" s="14">
        <v>12</v>
      </c>
      <c r="K20" s="14" t="s">
        <v>43</v>
      </c>
      <c r="L20" s="15" t="s">
        <v>15</v>
      </c>
      <c r="M20" s="15" t="s">
        <v>15</v>
      </c>
      <c r="N20" s="14"/>
      <c r="O20" s="17"/>
    </row>
    <row r="21" spans="2:15" ht="14.4" customHeight="1" x14ac:dyDescent="0.3">
      <c r="B21" s="14">
        <v>13</v>
      </c>
      <c r="C21" s="14" t="s">
        <v>43</v>
      </c>
      <c r="D21" s="14" t="s">
        <v>15</v>
      </c>
      <c r="E21" s="15" t="s">
        <v>15</v>
      </c>
      <c r="F21" s="14"/>
      <c r="G21" s="17"/>
      <c r="J21" s="14">
        <v>13</v>
      </c>
      <c r="K21" s="14" t="s">
        <v>43</v>
      </c>
      <c r="L21" s="15" t="s">
        <v>15</v>
      </c>
      <c r="M21" s="15" t="s">
        <v>15</v>
      </c>
      <c r="N21" s="14"/>
      <c r="O21" s="17"/>
    </row>
    <row r="22" spans="2:15" ht="14.4" customHeight="1" x14ac:dyDescent="0.3">
      <c r="B22" s="14">
        <v>14</v>
      </c>
      <c r="C22" s="14" t="s">
        <v>43</v>
      </c>
      <c r="D22" s="14" t="s">
        <v>15</v>
      </c>
      <c r="E22" s="15" t="s">
        <v>15</v>
      </c>
      <c r="F22" s="14"/>
      <c r="G22" s="17"/>
      <c r="J22" s="14">
        <v>14</v>
      </c>
      <c r="K22" s="14" t="s">
        <v>43</v>
      </c>
      <c r="L22" s="15" t="s">
        <v>15</v>
      </c>
      <c r="M22" s="15" t="s">
        <v>15</v>
      </c>
      <c r="N22" s="14"/>
      <c r="O22" s="17"/>
    </row>
    <row r="23" spans="2:15" ht="14.4" customHeight="1" x14ac:dyDescent="0.3">
      <c r="B23" s="14">
        <v>15</v>
      </c>
      <c r="C23" s="14" t="s">
        <v>43</v>
      </c>
      <c r="D23" s="14" t="s">
        <v>15</v>
      </c>
      <c r="E23" s="15" t="s">
        <v>15</v>
      </c>
      <c r="F23" s="14"/>
      <c r="G23" s="17"/>
      <c r="J23" s="14">
        <v>15</v>
      </c>
      <c r="K23" s="14" t="s">
        <v>43</v>
      </c>
      <c r="L23" s="15" t="s">
        <v>15</v>
      </c>
      <c r="M23" s="15" t="s">
        <v>15</v>
      </c>
      <c r="N23" s="14"/>
      <c r="O23" s="17"/>
    </row>
    <row r="24" spans="2:15" ht="14.4" customHeight="1" x14ac:dyDescent="0.3">
      <c r="B24" s="14">
        <v>16</v>
      </c>
      <c r="C24" s="14" t="s">
        <v>43</v>
      </c>
      <c r="D24" s="14" t="s">
        <v>15</v>
      </c>
      <c r="E24" s="15" t="s">
        <v>15</v>
      </c>
      <c r="F24" s="14"/>
      <c r="G24" s="17"/>
      <c r="J24" s="14">
        <v>16</v>
      </c>
      <c r="K24" s="14" t="s">
        <v>43</v>
      </c>
      <c r="L24" s="15" t="s">
        <v>15</v>
      </c>
      <c r="M24" s="15" t="s">
        <v>15</v>
      </c>
      <c r="N24" s="14"/>
      <c r="O24" s="17"/>
    </row>
    <row r="25" spans="2:15" ht="14.4" customHeight="1" x14ac:dyDescent="0.3">
      <c r="B25" s="14">
        <v>17</v>
      </c>
      <c r="C25" s="14" t="s">
        <v>43</v>
      </c>
      <c r="D25" s="14" t="s">
        <v>15</v>
      </c>
      <c r="E25" s="15" t="s">
        <v>15</v>
      </c>
      <c r="F25" s="14"/>
      <c r="G25" s="17"/>
      <c r="J25" s="14">
        <v>17</v>
      </c>
      <c r="K25" s="14" t="s">
        <v>43</v>
      </c>
      <c r="L25" s="15" t="s">
        <v>15</v>
      </c>
      <c r="M25" s="15" t="s">
        <v>15</v>
      </c>
      <c r="N25" s="14"/>
      <c r="O25" s="17"/>
    </row>
    <row r="26" spans="2:15" ht="14.4" customHeight="1" x14ac:dyDescent="0.3">
      <c r="B26" s="14">
        <v>18</v>
      </c>
      <c r="C26" s="14" t="s">
        <v>43</v>
      </c>
      <c r="D26" s="14" t="s">
        <v>15</v>
      </c>
      <c r="E26" s="15" t="s">
        <v>15</v>
      </c>
      <c r="F26" s="14"/>
      <c r="G26" s="17"/>
      <c r="J26" s="14">
        <v>18</v>
      </c>
      <c r="K26" s="14" t="s">
        <v>43</v>
      </c>
      <c r="L26" s="15" t="s">
        <v>15</v>
      </c>
      <c r="M26" s="15" t="s">
        <v>15</v>
      </c>
      <c r="N26" s="14"/>
      <c r="O26" s="17"/>
    </row>
    <row r="27" spans="2:15" ht="14.4" customHeight="1" x14ac:dyDescent="0.3">
      <c r="B27" s="14">
        <v>19</v>
      </c>
      <c r="C27" s="14" t="s">
        <v>43</v>
      </c>
      <c r="D27" s="14" t="s">
        <v>15</v>
      </c>
      <c r="E27" s="15" t="s">
        <v>15</v>
      </c>
      <c r="F27" s="14"/>
      <c r="G27" s="17"/>
      <c r="J27" s="14">
        <v>19</v>
      </c>
      <c r="K27" s="14" t="s">
        <v>43</v>
      </c>
      <c r="L27" s="15" t="s">
        <v>15</v>
      </c>
      <c r="M27" s="15" t="s">
        <v>15</v>
      </c>
      <c r="N27" s="14"/>
      <c r="O27" s="17"/>
    </row>
    <row r="28" spans="2:15" ht="14.4" customHeight="1" x14ac:dyDescent="0.3">
      <c r="B28" s="14">
        <v>20</v>
      </c>
      <c r="C28" s="14" t="s">
        <v>43</v>
      </c>
      <c r="D28" s="14" t="s">
        <v>15</v>
      </c>
      <c r="E28" s="15" t="s">
        <v>15</v>
      </c>
      <c r="F28" s="14"/>
      <c r="G28" s="17"/>
      <c r="J28" s="14">
        <v>20</v>
      </c>
      <c r="K28" s="14" t="s">
        <v>43</v>
      </c>
      <c r="L28" s="15" t="s">
        <v>15</v>
      </c>
      <c r="M28" s="15" t="s">
        <v>15</v>
      </c>
      <c r="N28" s="14"/>
      <c r="O28" s="17"/>
    </row>
    <row r="29" spans="2:15" ht="14.4" customHeight="1" x14ac:dyDescent="0.3">
      <c r="B29" s="14">
        <v>21</v>
      </c>
      <c r="C29" s="14" t="s">
        <v>43</v>
      </c>
      <c r="D29" s="14" t="s">
        <v>15</v>
      </c>
      <c r="E29" s="15" t="s">
        <v>15</v>
      </c>
      <c r="F29" s="14"/>
      <c r="G29" s="17"/>
      <c r="J29" s="14">
        <v>21</v>
      </c>
      <c r="K29" s="14" t="s">
        <v>43</v>
      </c>
      <c r="L29" s="15" t="s">
        <v>15</v>
      </c>
      <c r="M29" s="15" t="s">
        <v>15</v>
      </c>
      <c r="N29" s="14"/>
      <c r="O29" s="17"/>
    </row>
    <row r="30" spans="2:15" ht="14.4" customHeight="1" x14ac:dyDescent="0.3">
      <c r="B30" s="14">
        <v>22</v>
      </c>
      <c r="C30" s="14" t="s">
        <v>43</v>
      </c>
      <c r="D30" s="14" t="s">
        <v>15</v>
      </c>
      <c r="E30" s="15" t="s">
        <v>15</v>
      </c>
      <c r="F30" s="14"/>
      <c r="G30" s="17"/>
      <c r="J30" s="14">
        <v>22</v>
      </c>
      <c r="K30" s="14" t="s">
        <v>43</v>
      </c>
      <c r="L30" s="15" t="s">
        <v>15</v>
      </c>
      <c r="M30" s="15" t="s">
        <v>15</v>
      </c>
      <c r="N30" s="14"/>
      <c r="O30" s="17"/>
    </row>
    <row r="31" spans="2:15" ht="14.4" customHeight="1" x14ac:dyDescent="0.3">
      <c r="B31" s="14">
        <v>23</v>
      </c>
      <c r="C31" s="14" t="s">
        <v>43</v>
      </c>
      <c r="D31" s="14" t="s">
        <v>15</v>
      </c>
      <c r="E31" s="15" t="s">
        <v>15</v>
      </c>
      <c r="F31" s="14"/>
      <c r="G31" s="17"/>
      <c r="J31" s="14">
        <v>23</v>
      </c>
      <c r="K31" s="14" t="s">
        <v>43</v>
      </c>
      <c r="L31" s="15" t="s">
        <v>15</v>
      </c>
      <c r="M31" s="15" t="s">
        <v>15</v>
      </c>
      <c r="N31" s="14"/>
      <c r="O31" s="17"/>
    </row>
    <row r="32" spans="2:15" ht="14.4" customHeight="1" x14ac:dyDescent="0.3">
      <c r="B32" s="14">
        <v>24</v>
      </c>
      <c r="C32" s="14" t="s">
        <v>43</v>
      </c>
      <c r="D32" s="14" t="s">
        <v>15</v>
      </c>
      <c r="E32" s="15" t="s">
        <v>15</v>
      </c>
      <c r="F32" s="14"/>
      <c r="G32" s="17"/>
      <c r="J32" s="14">
        <v>24</v>
      </c>
      <c r="K32" s="14" t="s">
        <v>43</v>
      </c>
      <c r="L32" s="15" t="s">
        <v>15</v>
      </c>
      <c r="M32" s="15" t="s">
        <v>15</v>
      </c>
      <c r="N32" s="14"/>
      <c r="O32" s="17"/>
    </row>
    <row r="33" spans="2:15" ht="14.4" customHeight="1" x14ac:dyDescent="0.3">
      <c r="B33" s="14">
        <v>25</v>
      </c>
      <c r="C33" s="14" t="s">
        <v>43</v>
      </c>
      <c r="D33" s="14" t="s">
        <v>15</v>
      </c>
      <c r="E33" s="15" t="s">
        <v>15</v>
      </c>
      <c r="F33" s="14"/>
      <c r="G33" s="17"/>
      <c r="J33" s="14">
        <v>25</v>
      </c>
      <c r="K33" s="14" t="s">
        <v>43</v>
      </c>
      <c r="L33" s="15" t="s">
        <v>15</v>
      </c>
      <c r="M33" s="15" t="s">
        <v>15</v>
      </c>
      <c r="N33" s="14"/>
      <c r="O33" s="17"/>
    </row>
    <row r="34" spans="2:15" ht="14.4" customHeight="1" x14ac:dyDescent="0.3">
      <c r="B34" s="14">
        <v>26</v>
      </c>
      <c r="C34" s="14" t="s">
        <v>43</v>
      </c>
      <c r="D34" s="14" t="s">
        <v>15</v>
      </c>
      <c r="E34" s="15" t="s">
        <v>15</v>
      </c>
      <c r="F34" s="14"/>
      <c r="G34" s="17"/>
      <c r="J34" s="14">
        <v>26</v>
      </c>
      <c r="K34" s="14" t="s">
        <v>43</v>
      </c>
      <c r="L34" s="15" t="s">
        <v>15</v>
      </c>
      <c r="M34" s="15" t="s">
        <v>15</v>
      </c>
      <c r="N34" s="14"/>
      <c r="O34" s="17"/>
    </row>
    <row r="35" spans="2:15" ht="14.4" customHeight="1" x14ac:dyDescent="0.3">
      <c r="B35" s="14">
        <v>27</v>
      </c>
      <c r="C35" s="14" t="s">
        <v>43</v>
      </c>
      <c r="D35" s="14" t="s">
        <v>15</v>
      </c>
      <c r="E35" s="15" t="s">
        <v>15</v>
      </c>
      <c r="F35" s="14"/>
      <c r="G35" s="17"/>
      <c r="J35" s="14">
        <v>27</v>
      </c>
      <c r="K35" s="14" t="s">
        <v>43</v>
      </c>
      <c r="L35" s="15" t="s">
        <v>15</v>
      </c>
      <c r="M35" s="15" t="s">
        <v>15</v>
      </c>
      <c r="N35" s="14"/>
      <c r="O35" s="17"/>
    </row>
    <row r="36" spans="2:15" ht="14.4" customHeight="1" x14ac:dyDescent="0.3">
      <c r="B36" s="14">
        <v>28</v>
      </c>
      <c r="C36" s="14" t="s">
        <v>43</v>
      </c>
      <c r="D36" s="14" t="s">
        <v>15</v>
      </c>
      <c r="E36" s="15" t="s">
        <v>15</v>
      </c>
      <c r="F36" s="14"/>
      <c r="G36" s="17"/>
      <c r="J36" s="14">
        <v>28</v>
      </c>
      <c r="K36" s="14" t="s">
        <v>43</v>
      </c>
      <c r="L36" s="15" t="s">
        <v>15</v>
      </c>
      <c r="M36" s="15" t="s">
        <v>15</v>
      </c>
      <c r="N36" s="14"/>
      <c r="O36" s="17"/>
    </row>
    <row r="37" spans="2:15" ht="14.4" customHeight="1" x14ac:dyDescent="0.3">
      <c r="B37" s="14">
        <v>29</v>
      </c>
      <c r="C37" s="14" t="s">
        <v>43</v>
      </c>
      <c r="D37" s="14" t="s">
        <v>15</v>
      </c>
      <c r="E37" s="15" t="s">
        <v>15</v>
      </c>
      <c r="F37" s="14"/>
      <c r="G37" s="17"/>
      <c r="J37" s="14">
        <v>29</v>
      </c>
      <c r="K37" s="14" t="s">
        <v>43</v>
      </c>
      <c r="L37" s="15" t="s">
        <v>15</v>
      </c>
      <c r="M37" s="15" t="s">
        <v>15</v>
      </c>
      <c r="N37" s="14"/>
      <c r="O37" s="17"/>
    </row>
    <row r="38" spans="2:15" ht="14.4" customHeight="1" x14ac:dyDescent="0.3">
      <c r="B38" s="14">
        <v>30</v>
      </c>
      <c r="C38" s="14" t="s">
        <v>43</v>
      </c>
      <c r="D38" s="14" t="s">
        <v>15</v>
      </c>
      <c r="E38" s="15" t="s">
        <v>15</v>
      </c>
      <c r="F38" s="14"/>
      <c r="G38" s="17"/>
      <c r="J38" s="14">
        <v>30</v>
      </c>
      <c r="K38" s="14" t="s">
        <v>43</v>
      </c>
      <c r="L38" s="15" t="s">
        <v>15</v>
      </c>
      <c r="M38" s="15" t="s">
        <v>15</v>
      </c>
      <c r="N38" s="14"/>
      <c r="O38" s="17"/>
    </row>
    <row r="39" spans="2:15" ht="14.4" customHeight="1" x14ac:dyDescent="0.3">
      <c r="B39" s="14">
        <v>31</v>
      </c>
      <c r="C39" s="14" t="s">
        <v>43</v>
      </c>
      <c r="D39" s="14" t="s">
        <v>15</v>
      </c>
      <c r="E39" s="15" t="s">
        <v>15</v>
      </c>
      <c r="F39" s="14"/>
      <c r="G39" s="17"/>
      <c r="J39" s="14">
        <v>31</v>
      </c>
      <c r="K39" s="14" t="s">
        <v>43</v>
      </c>
      <c r="L39" s="15" t="s">
        <v>15</v>
      </c>
      <c r="M39" s="15" t="s">
        <v>15</v>
      </c>
      <c r="N39" s="14"/>
      <c r="O39" s="17"/>
    </row>
    <row r="40" spans="2:15" ht="14.4" customHeight="1" x14ac:dyDescent="0.3">
      <c r="B40" s="14">
        <v>32</v>
      </c>
      <c r="C40" s="14" t="s">
        <v>43</v>
      </c>
      <c r="D40" s="14" t="s">
        <v>15</v>
      </c>
      <c r="E40" s="15" t="s">
        <v>15</v>
      </c>
      <c r="F40" s="14"/>
      <c r="G40" s="17"/>
      <c r="J40" s="14">
        <v>32</v>
      </c>
      <c r="K40" s="14" t="s">
        <v>43</v>
      </c>
      <c r="L40" s="15" t="s">
        <v>15</v>
      </c>
      <c r="M40" s="15" t="s">
        <v>15</v>
      </c>
      <c r="N40" s="14"/>
      <c r="O40" s="17"/>
    </row>
    <row r="41" spans="2:15" ht="14.4" customHeight="1" x14ac:dyDescent="0.3">
      <c r="B41" s="14">
        <v>33</v>
      </c>
      <c r="C41" s="14" t="s">
        <v>43</v>
      </c>
      <c r="D41" s="14" t="s">
        <v>15</v>
      </c>
      <c r="E41" s="15" t="s">
        <v>15</v>
      </c>
      <c r="F41" s="14"/>
      <c r="G41" s="17"/>
      <c r="J41" s="14">
        <v>33</v>
      </c>
      <c r="K41" s="14" t="s">
        <v>43</v>
      </c>
      <c r="L41" s="15" t="s">
        <v>15</v>
      </c>
      <c r="M41" s="15" t="s">
        <v>15</v>
      </c>
      <c r="N41" s="14"/>
      <c r="O41" s="17"/>
    </row>
    <row r="42" spans="2:15" ht="14.4" customHeight="1" x14ac:dyDescent="0.3">
      <c r="B42" s="14">
        <v>34</v>
      </c>
      <c r="C42" s="14" t="s">
        <v>43</v>
      </c>
      <c r="D42" s="14" t="s">
        <v>15</v>
      </c>
      <c r="E42" s="15" t="s">
        <v>15</v>
      </c>
      <c r="F42" s="14"/>
      <c r="G42" s="17"/>
      <c r="J42" s="14">
        <v>34</v>
      </c>
      <c r="K42" s="14" t="s">
        <v>43</v>
      </c>
      <c r="L42" s="15" t="s">
        <v>15</v>
      </c>
      <c r="M42" s="15" t="s">
        <v>15</v>
      </c>
      <c r="N42" s="14"/>
      <c r="O42" s="17"/>
    </row>
    <row r="43" spans="2:15" ht="14.4" customHeight="1" x14ac:dyDescent="0.3">
      <c r="B43" s="14">
        <v>35</v>
      </c>
      <c r="C43" s="14" t="s">
        <v>43</v>
      </c>
      <c r="D43" s="14" t="s">
        <v>15</v>
      </c>
      <c r="E43" s="15" t="s">
        <v>15</v>
      </c>
      <c r="F43" s="14"/>
      <c r="G43" s="17"/>
      <c r="J43" s="14">
        <v>35</v>
      </c>
      <c r="K43" s="14" t="s">
        <v>43</v>
      </c>
      <c r="L43" s="15" t="s">
        <v>15</v>
      </c>
      <c r="M43" s="15" t="s">
        <v>15</v>
      </c>
      <c r="N43" s="14"/>
      <c r="O43" s="17"/>
    </row>
    <row r="44" spans="2:15" ht="14.4" customHeight="1" x14ac:dyDescent="0.3">
      <c r="B44" s="14">
        <v>36</v>
      </c>
      <c r="C44" s="14" t="s">
        <v>43</v>
      </c>
      <c r="D44" s="14" t="s">
        <v>15</v>
      </c>
      <c r="E44" s="15" t="s">
        <v>15</v>
      </c>
      <c r="F44" s="14"/>
      <c r="G44" s="17"/>
      <c r="J44" s="14">
        <v>36</v>
      </c>
      <c r="K44" s="14" t="s">
        <v>43</v>
      </c>
      <c r="L44" s="15" t="s">
        <v>15</v>
      </c>
      <c r="M44" s="15" t="s">
        <v>15</v>
      </c>
      <c r="N44" s="14"/>
      <c r="O44" s="17"/>
    </row>
    <row r="45" spans="2:15" ht="14.4" customHeight="1" x14ac:dyDescent="0.3">
      <c r="B45" s="14">
        <v>37</v>
      </c>
      <c r="C45" s="14" t="s">
        <v>43</v>
      </c>
      <c r="D45" s="14" t="s">
        <v>15</v>
      </c>
      <c r="E45" s="15" t="s">
        <v>15</v>
      </c>
      <c r="F45" s="14"/>
      <c r="G45" s="17"/>
      <c r="J45" s="14">
        <v>37</v>
      </c>
      <c r="K45" s="14" t="s">
        <v>43</v>
      </c>
      <c r="L45" s="15" t="s">
        <v>15</v>
      </c>
      <c r="M45" s="15" t="s">
        <v>15</v>
      </c>
      <c r="N45" s="14"/>
      <c r="O45" s="17"/>
    </row>
    <row r="46" spans="2:15" ht="14.4" customHeight="1" x14ac:dyDescent="0.3">
      <c r="B46" s="14">
        <v>38</v>
      </c>
      <c r="C46" s="14" t="s">
        <v>43</v>
      </c>
      <c r="D46" s="14" t="s">
        <v>15</v>
      </c>
      <c r="E46" s="15" t="s">
        <v>15</v>
      </c>
      <c r="F46" s="14"/>
      <c r="G46" s="17"/>
      <c r="J46" s="14">
        <v>38</v>
      </c>
      <c r="K46" s="14" t="s">
        <v>43</v>
      </c>
      <c r="L46" s="15" t="s">
        <v>15</v>
      </c>
      <c r="M46" s="15" t="s">
        <v>15</v>
      </c>
      <c r="N46" s="14"/>
      <c r="O46" s="17"/>
    </row>
    <row r="47" spans="2:15" ht="14.4" customHeight="1" x14ac:dyDescent="0.3">
      <c r="B47" s="14">
        <v>39</v>
      </c>
      <c r="C47" s="14" t="s">
        <v>43</v>
      </c>
      <c r="D47" s="14" t="s">
        <v>15</v>
      </c>
      <c r="E47" s="15" t="s">
        <v>15</v>
      </c>
      <c r="F47" s="14"/>
      <c r="G47" s="17"/>
      <c r="J47" s="14">
        <v>39</v>
      </c>
      <c r="K47" s="14" t="s">
        <v>43</v>
      </c>
      <c r="L47" s="15" t="s">
        <v>15</v>
      </c>
      <c r="M47" s="15" t="s">
        <v>15</v>
      </c>
      <c r="N47" s="14"/>
      <c r="O47" s="17"/>
    </row>
    <row r="48" spans="2:15" ht="14.4" customHeight="1" x14ac:dyDescent="0.3">
      <c r="B48" s="14">
        <v>40</v>
      </c>
      <c r="C48" s="14" t="s">
        <v>43</v>
      </c>
      <c r="D48" s="14" t="s">
        <v>15</v>
      </c>
      <c r="E48" s="15" t="s">
        <v>15</v>
      </c>
      <c r="F48" s="14"/>
      <c r="G48" s="17"/>
      <c r="J48" s="14">
        <v>40</v>
      </c>
      <c r="K48" s="14" t="s">
        <v>43</v>
      </c>
      <c r="L48" s="15" t="s">
        <v>15</v>
      </c>
      <c r="M48" s="15" t="s">
        <v>15</v>
      </c>
      <c r="N48" s="14"/>
      <c r="O48" s="17"/>
    </row>
    <row r="49" spans="2:15" ht="14.4" customHeight="1" x14ac:dyDescent="0.3">
      <c r="B49" s="14">
        <v>41</v>
      </c>
      <c r="C49" s="14" t="s">
        <v>43</v>
      </c>
      <c r="D49" s="14" t="s">
        <v>15</v>
      </c>
      <c r="E49" s="15" t="s">
        <v>15</v>
      </c>
      <c r="F49" s="14"/>
      <c r="G49" s="17"/>
      <c r="J49" s="14">
        <v>41</v>
      </c>
      <c r="K49" s="14" t="s">
        <v>43</v>
      </c>
      <c r="L49" s="15" t="s">
        <v>15</v>
      </c>
      <c r="M49" s="15" t="s">
        <v>15</v>
      </c>
      <c r="N49" s="14"/>
      <c r="O49" s="17"/>
    </row>
    <row r="50" spans="2:15" ht="14.4" customHeight="1" x14ac:dyDescent="0.3">
      <c r="B50" s="14">
        <v>42</v>
      </c>
      <c r="C50" s="14" t="s">
        <v>43</v>
      </c>
      <c r="D50" s="14" t="s">
        <v>15</v>
      </c>
      <c r="E50" s="15" t="s">
        <v>15</v>
      </c>
      <c r="F50" s="14"/>
      <c r="G50" s="17"/>
      <c r="J50" s="14">
        <v>42</v>
      </c>
      <c r="K50" s="14" t="s">
        <v>43</v>
      </c>
      <c r="L50" s="15" t="s">
        <v>15</v>
      </c>
      <c r="M50" s="15" t="s">
        <v>15</v>
      </c>
      <c r="N50" s="14"/>
      <c r="O50" s="17"/>
    </row>
    <row r="51" spans="2:15" ht="14.4" customHeight="1" x14ac:dyDescent="0.3">
      <c r="B51" s="14">
        <v>43</v>
      </c>
      <c r="C51" s="14" t="s">
        <v>43</v>
      </c>
      <c r="D51" s="14" t="s">
        <v>15</v>
      </c>
      <c r="E51" s="15" t="s">
        <v>15</v>
      </c>
      <c r="F51" s="14"/>
      <c r="G51" s="17"/>
      <c r="J51" s="14">
        <v>43</v>
      </c>
      <c r="K51" s="14" t="s">
        <v>43</v>
      </c>
      <c r="L51" s="15" t="s">
        <v>15</v>
      </c>
      <c r="M51" s="15" t="s">
        <v>15</v>
      </c>
      <c r="N51" s="14"/>
      <c r="O51" s="17"/>
    </row>
    <row r="52" spans="2:15" ht="14.4" customHeight="1" x14ac:dyDescent="0.3">
      <c r="B52" s="14">
        <v>44</v>
      </c>
      <c r="C52" s="14" t="s">
        <v>43</v>
      </c>
      <c r="D52" s="14" t="s">
        <v>15</v>
      </c>
      <c r="E52" s="15" t="s">
        <v>15</v>
      </c>
      <c r="F52" s="14"/>
      <c r="G52" s="17"/>
      <c r="J52" s="14">
        <v>44</v>
      </c>
      <c r="K52" s="14" t="s">
        <v>43</v>
      </c>
      <c r="L52" s="15" t="s">
        <v>15</v>
      </c>
      <c r="M52" s="15" t="s">
        <v>15</v>
      </c>
      <c r="N52" s="14"/>
      <c r="O52" s="17"/>
    </row>
    <row r="53" spans="2:15" ht="14.4" customHeight="1" x14ac:dyDescent="0.3">
      <c r="B53" s="14">
        <v>45</v>
      </c>
      <c r="C53" s="14" t="s">
        <v>43</v>
      </c>
      <c r="D53" s="14" t="s">
        <v>15</v>
      </c>
      <c r="E53" s="15" t="s">
        <v>15</v>
      </c>
      <c r="F53" s="14"/>
      <c r="G53" s="17"/>
      <c r="J53" s="14">
        <v>45</v>
      </c>
      <c r="K53" s="14" t="s">
        <v>43</v>
      </c>
      <c r="L53" s="15" t="s">
        <v>15</v>
      </c>
      <c r="M53" s="15" t="s">
        <v>15</v>
      </c>
      <c r="N53" s="14"/>
      <c r="O53" s="17"/>
    </row>
    <row r="54" spans="2:15" ht="14.4" customHeight="1" x14ac:dyDescent="0.3">
      <c r="B54" s="14">
        <v>46</v>
      </c>
      <c r="C54" s="14" t="s">
        <v>43</v>
      </c>
      <c r="D54" s="14" t="s">
        <v>15</v>
      </c>
      <c r="E54" s="15" t="s">
        <v>15</v>
      </c>
      <c r="F54" s="14"/>
      <c r="G54" s="17"/>
      <c r="J54" s="14">
        <v>46</v>
      </c>
      <c r="K54" s="14" t="s">
        <v>43</v>
      </c>
      <c r="L54" s="15" t="s">
        <v>15</v>
      </c>
      <c r="M54" s="15" t="s">
        <v>15</v>
      </c>
      <c r="N54" s="14"/>
      <c r="O54" s="17"/>
    </row>
    <row r="55" spans="2:15" ht="14.4" customHeight="1" x14ac:dyDescent="0.3">
      <c r="B55" s="14">
        <v>47</v>
      </c>
      <c r="C55" s="14" t="s">
        <v>43</v>
      </c>
      <c r="D55" s="14" t="s">
        <v>15</v>
      </c>
      <c r="E55" s="15" t="s">
        <v>15</v>
      </c>
      <c r="F55" s="14"/>
      <c r="G55" s="17"/>
      <c r="J55" s="14">
        <v>47</v>
      </c>
      <c r="K55" s="14" t="s">
        <v>43</v>
      </c>
      <c r="L55" s="15" t="s">
        <v>15</v>
      </c>
      <c r="M55" s="15" t="s">
        <v>15</v>
      </c>
      <c r="N55" s="14"/>
      <c r="O55" s="17"/>
    </row>
    <row r="56" spans="2:15" ht="14.4" customHeight="1" x14ac:dyDescent="0.3">
      <c r="B56" s="14">
        <v>48</v>
      </c>
      <c r="C56" s="14" t="s">
        <v>43</v>
      </c>
      <c r="D56" s="14" t="s">
        <v>15</v>
      </c>
      <c r="E56" s="15" t="s">
        <v>15</v>
      </c>
      <c r="F56" s="14"/>
      <c r="G56" s="17"/>
      <c r="J56" s="14">
        <v>48</v>
      </c>
      <c r="K56" s="14" t="s">
        <v>43</v>
      </c>
      <c r="L56" s="15" t="s">
        <v>15</v>
      </c>
      <c r="M56" s="15" t="s">
        <v>15</v>
      </c>
      <c r="N56" s="14"/>
      <c r="O56" s="17"/>
    </row>
    <row r="57" spans="2:15" ht="14.4" customHeight="1" x14ac:dyDescent="0.3">
      <c r="B57" s="14">
        <v>49</v>
      </c>
      <c r="C57" s="14" t="s">
        <v>43</v>
      </c>
      <c r="D57" s="14" t="s">
        <v>15</v>
      </c>
      <c r="E57" s="15" t="s">
        <v>15</v>
      </c>
      <c r="F57" s="14"/>
      <c r="G57" s="17"/>
      <c r="J57" s="14">
        <v>49</v>
      </c>
      <c r="K57" s="14" t="s">
        <v>43</v>
      </c>
      <c r="L57" s="15" t="s">
        <v>15</v>
      </c>
      <c r="M57" s="15" t="s">
        <v>15</v>
      </c>
      <c r="N57" s="14"/>
      <c r="O57" s="17"/>
    </row>
    <row r="58" spans="2:15" ht="14.4" customHeight="1" x14ac:dyDescent="0.3">
      <c r="B58" s="14">
        <v>50</v>
      </c>
      <c r="C58" s="14" t="s">
        <v>43</v>
      </c>
      <c r="D58" s="14" t="s">
        <v>15</v>
      </c>
      <c r="E58" s="15" t="s">
        <v>15</v>
      </c>
      <c r="F58" s="14"/>
      <c r="G58" s="17"/>
      <c r="J58" s="14">
        <v>50</v>
      </c>
      <c r="K58" s="14" t="s">
        <v>43</v>
      </c>
      <c r="L58" s="15" t="s">
        <v>15</v>
      </c>
      <c r="M58" s="15" t="s">
        <v>15</v>
      </c>
      <c r="N58" s="14"/>
      <c r="O58" s="17"/>
    </row>
    <row r="59" spans="2:15" ht="14.4" customHeight="1" x14ac:dyDescent="0.3">
      <c r="B59" s="14">
        <v>51</v>
      </c>
      <c r="C59" s="14" t="s">
        <v>43</v>
      </c>
      <c r="D59" s="14" t="s">
        <v>15</v>
      </c>
      <c r="E59" s="15" t="s">
        <v>15</v>
      </c>
      <c r="F59" s="14"/>
      <c r="G59" s="17"/>
      <c r="J59" s="14">
        <v>51</v>
      </c>
      <c r="K59" s="14" t="s">
        <v>43</v>
      </c>
      <c r="L59" s="15" t="s">
        <v>15</v>
      </c>
      <c r="M59" s="15" t="s">
        <v>15</v>
      </c>
      <c r="N59" s="14"/>
      <c r="O59" s="17"/>
    </row>
    <row r="60" spans="2:15" ht="14.4" customHeight="1" x14ac:dyDescent="0.3">
      <c r="B60" s="14">
        <v>52</v>
      </c>
      <c r="C60" s="14" t="s">
        <v>43</v>
      </c>
      <c r="D60" s="14" t="s">
        <v>15</v>
      </c>
      <c r="E60" s="15" t="s">
        <v>15</v>
      </c>
      <c r="F60" s="14"/>
      <c r="G60" s="17"/>
      <c r="J60" s="14">
        <v>52</v>
      </c>
      <c r="K60" s="14" t="s">
        <v>43</v>
      </c>
      <c r="L60" s="15" t="s">
        <v>15</v>
      </c>
      <c r="M60" s="15" t="s">
        <v>15</v>
      </c>
      <c r="N60" s="14"/>
      <c r="O60" s="17"/>
    </row>
    <row r="61" spans="2:15" ht="14.4" customHeight="1" x14ac:dyDescent="0.3">
      <c r="B61" s="14">
        <v>53</v>
      </c>
      <c r="C61" s="14" t="s">
        <v>43</v>
      </c>
      <c r="D61" s="14" t="s">
        <v>15</v>
      </c>
      <c r="E61" s="15" t="s">
        <v>15</v>
      </c>
      <c r="F61" s="14"/>
      <c r="G61" s="17"/>
      <c r="J61" s="14">
        <v>53</v>
      </c>
      <c r="K61" s="14" t="s">
        <v>43</v>
      </c>
      <c r="L61" s="15" t="s">
        <v>15</v>
      </c>
      <c r="M61" s="15" t="s">
        <v>15</v>
      </c>
      <c r="N61" s="14"/>
      <c r="O61" s="17"/>
    </row>
    <row r="62" spans="2:15" ht="14.4" customHeight="1" x14ac:dyDescent="0.3">
      <c r="B62" s="14">
        <v>54</v>
      </c>
      <c r="C62" s="14" t="s">
        <v>43</v>
      </c>
      <c r="D62" s="14" t="s">
        <v>15</v>
      </c>
      <c r="E62" s="15" t="s">
        <v>15</v>
      </c>
      <c r="F62" s="14"/>
      <c r="G62" s="17"/>
      <c r="J62" s="14">
        <v>54</v>
      </c>
      <c r="K62" s="14" t="s">
        <v>43</v>
      </c>
      <c r="L62" s="15" t="s">
        <v>15</v>
      </c>
      <c r="M62" s="15" t="s">
        <v>15</v>
      </c>
      <c r="N62" s="14"/>
      <c r="O62" s="17"/>
    </row>
    <row r="63" spans="2:15" ht="14.4" customHeight="1" x14ac:dyDescent="0.3">
      <c r="B63" s="14">
        <v>55</v>
      </c>
      <c r="C63" s="14" t="s">
        <v>43</v>
      </c>
      <c r="D63" s="14" t="s">
        <v>15</v>
      </c>
      <c r="E63" s="15" t="s">
        <v>15</v>
      </c>
      <c r="F63" s="14"/>
      <c r="G63" s="17"/>
      <c r="J63" s="14">
        <v>55</v>
      </c>
      <c r="K63" s="14" t="s">
        <v>43</v>
      </c>
      <c r="L63" s="15" t="s">
        <v>15</v>
      </c>
      <c r="M63" s="15" t="s">
        <v>15</v>
      </c>
      <c r="N63" s="14"/>
      <c r="O63" s="17"/>
    </row>
    <row r="64" spans="2:15" ht="14.4" customHeight="1" x14ac:dyDescent="0.3">
      <c r="B64" s="14">
        <v>56</v>
      </c>
      <c r="C64" s="14" t="s">
        <v>43</v>
      </c>
      <c r="D64" s="14" t="s">
        <v>15</v>
      </c>
      <c r="E64" s="15" t="s">
        <v>15</v>
      </c>
      <c r="F64" s="14"/>
      <c r="G64" s="17"/>
      <c r="J64" s="14">
        <v>56</v>
      </c>
      <c r="K64" s="14" t="s">
        <v>43</v>
      </c>
      <c r="L64" s="15" t="s">
        <v>15</v>
      </c>
      <c r="M64" s="15" t="s">
        <v>15</v>
      </c>
      <c r="N64" s="14"/>
      <c r="O64" s="17"/>
    </row>
    <row r="65" spans="2:15" ht="14.4" customHeight="1" x14ac:dyDescent="0.3">
      <c r="B65" s="14">
        <v>57</v>
      </c>
      <c r="C65" s="14" t="s">
        <v>43</v>
      </c>
      <c r="D65" s="14" t="s">
        <v>15</v>
      </c>
      <c r="E65" s="15" t="s">
        <v>15</v>
      </c>
      <c r="F65" s="14"/>
      <c r="G65" s="17"/>
      <c r="J65" s="14">
        <v>57</v>
      </c>
      <c r="K65" s="14" t="s">
        <v>43</v>
      </c>
      <c r="L65" s="15" t="s">
        <v>15</v>
      </c>
      <c r="M65" s="15" t="s">
        <v>15</v>
      </c>
      <c r="N65" s="14"/>
      <c r="O65" s="17"/>
    </row>
    <row r="66" spans="2:15" ht="14.4" customHeight="1" x14ac:dyDescent="0.3">
      <c r="B66" s="14">
        <v>58</v>
      </c>
      <c r="C66" s="14" t="s">
        <v>43</v>
      </c>
      <c r="D66" s="14" t="s">
        <v>15</v>
      </c>
      <c r="E66" s="15" t="s">
        <v>15</v>
      </c>
      <c r="F66" s="14"/>
      <c r="G66" s="17"/>
      <c r="J66" s="14">
        <v>58</v>
      </c>
      <c r="K66" s="14" t="s">
        <v>43</v>
      </c>
      <c r="L66" s="15" t="s">
        <v>15</v>
      </c>
      <c r="M66" s="15" t="s">
        <v>15</v>
      </c>
      <c r="N66" s="14"/>
      <c r="O66" s="17"/>
    </row>
    <row r="67" spans="2:15" ht="14.4" customHeight="1" x14ac:dyDescent="0.3">
      <c r="B67" s="14">
        <v>59</v>
      </c>
      <c r="C67" s="14" t="s">
        <v>43</v>
      </c>
      <c r="D67" s="14" t="s">
        <v>15</v>
      </c>
      <c r="E67" s="15" t="s">
        <v>15</v>
      </c>
      <c r="F67" s="14"/>
      <c r="G67" s="17"/>
      <c r="J67" s="14">
        <v>59</v>
      </c>
      <c r="K67" s="14" t="s">
        <v>43</v>
      </c>
      <c r="L67" s="15" t="s">
        <v>15</v>
      </c>
      <c r="M67" s="15" t="s">
        <v>15</v>
      </c>
      <c r="N67" s="14"/>
      <c r="O67" s="17"/>
    </row>
    <row r="68" spans="2:15" ht="14.4" customHeight="1" x14ac:dyDescent="0.3">
      <c r="B68" s="14">
        <v>60</v>
      </c>
      <c r="C68" s="14" t="s">
        <v>43</v>
      </c>
      <c r="D68" s="14" t="s">
        <v>15</v>
      </c>
      <c r="E68" s="15" t="s">
        <v>15</v>
      </c>
      <c r="F68" s="14"/>
      <c r="G68" s="17"/>
      <c r="J68" s="14">
        <v>60</v>
      </c>
      <c r="K68" s="14" t="s">
        <v>43</v>
      </c>
      <c r="L68" s="15" t="s">
        <v>15</v>
      </c>
      <c r="M68" s="15" t="s">
        <v>15</v>
      </c>
      <c r="N68" s="14"/>
      <c r="O68" s="17"/>
    </row>
  </sheetData>
  <mergeCells count="3">
    <mergeCell ref="J6:P7"/>
    <mergeCell ref="B6:H7"/>
    <mergeCell ref="B2:P4"/>
  </mergeCells>
  <conditionalFormatting sqref="C9:C68">
    <cfRule type="cellIs" dxfId="72" priority="63" operator="equal">
      <formula>"Makan_Malam"</formula>
    </cfRule>
    <cfRule type="cellIs" dxfId="71" priority="64" operator="equal">
      <formula>"Makan_Siang"</formula>
    </cfRule>
    <cfRule type="cellIs" dxfId="70" priority="65" operator="equal">
      <formula>"Sarapan"</formula>
    </cfRule>
    <cfRule type="cellIs" dxfId="69" priority="62" operator="equal">
      <formula>"N_A"</formula>
    </cfRule>
  </conditionalFormatting>
  <conditionalFormatting sqref="D9:D68">
    <cfRule type="expression" dxfId="68" priority="77">
      <formula>AND($C9="Makan_Siang", $D9="Warteg")</formula>
    </cfRule>
    <cfRule type="expression" dxfId="67" priority="76">
      <formula>AND($C9="Makan_Siang", $D9="Balsan")</formula>
    </cfRule>
    <cfRule type="expression" dxfId="66" priority="74">
      <formula>AND($C9="Makan_Siang", $D9="Gofood")</formula>
    </cfRule>
    <cfRule type="expression" dxfId="65" priority="66">
      <formula>AND($C9="Makan_Malam", $D9="Buka Puasa")</formula>
    </cfRule>
    <cfRule type="expression" dxfId="64" priority="67">
      <formula>AND($C9="Makan_Malam", $D9="Bikin Sendiri")</formula>
    </cfRule>
    <cfRule type="expression" dxfId="63" priority="68">
      <formula>AND($C9="Makan_Malam", $D9="Burger Bangor")</formula>
    </cfRule>
    <cfRule type="expression" dxfId="62" priority="69">
      <formula>AND($C9="Makan_Malam", $D9="Gofood")</formula>
    </cfRule>
    <cfRule type="expression" dxfId="61" priority="70">
      <formula>AND($C9="Makan_Malam", $D9="Nasi Goreng")</formula>
    </cfRule>
    <cfRule type="expression" dxfId="60" priority="75">
      <formula>AND($C9="Makan_Siang", $D9="FKG")</formula>
    </cfRule>
    <cfRule type="expression" dxfId="59" priority="71">
      <formula>AND($C9="Makan_Malam", $D9="Warteg")</formula>
    </cfRule>
    <cfRule type="expression" dxfId="58" priority="72">
      <formula>AND($C9="Makan_Siang", $D9="Bikin Sendiri")</formula>
    </cfRule>
    <cfRule type="expression" dxfId="57" priority="73">
      <formula>AND($C9="Makan_Siang", $D9="Burger Bangor")</formula>
    </cfRule>
    <cfRule type="expression" dxfId="56" priority="78">
      <formula>AND($C9="Sarapan", $D9="Sahur")</formula>
    </cfRule>
    <cfRule type="expression" dxfId="55" priority="79">
      <formula>AND($C9="Sarapan", $D9="Bikin Sendiri")</formula>
    </cfRule>
    <cfRule type="expression" dxfId="54" priority="80">
      <formula>AND($C9="Sarapan", $D9="Gofood")</formula>
    </cfRule>
    <cfRule type="expression" dxfId="53" priority="81">
      <formula>AND($C9="Sarapan", $D9="Nasi Kuning")</formula>
    </cfRule>
    <cfRule type="expression" dxfId="52" priority="82">
      <formula>AND($C9="Sarapan", $D9="Warteg")</formula>
    </cfRule>
  </conditionalFormatting>
  <conditionalFormatting sqref="E9:E68">
    <cfRule type="cellIs" dxfId="51" priority="4" operator="equal">
      <formula>"N/A"</formula>
    </cfRule>
    <cfRule type="cellIs" dxfId="50" priority="5" operator="equal">
      <formula>"Digital"</formula>
    </cfRule>
    <cfRule type="cellIs" dxfId="49" priority="6" operator="equal">
      <formula>"Tunai"</formula>
    </cfRule>
  </conditionalFormatting>
  <conditionalFormatting sqref="K9:K68">
    <cfRule type="cellIs" dxfId="48" priority="55" operator="equal">
      <formula>"Bluebird"</formula>
    </cfRule>
    <cfRule type="cellIs" dxfId="47" priority="56" operator="equal">
      <formula>"Gojek"</formula>
    </cfRule>
    <cfRule type="cellIs" dxfId="46" priority="57" operator="equal">
      <formula>"Telkomsel"</formula>
    </cfRule>
    <cfRule type="cellIs" dxfId="45" priority="59" operator="equal">
      <formula>"Superindo"</formula>
    </cfRule>
    <cfRule type="cellIs" dxfId="44" priority="60" operator="equal">
      <formula>"Indomaret"</formula>
    </cfRule>
    <cfRule type="cellIs" dxfId="43" priority="61" operator="equal">
      <formula>"Alfamart"</formula>
    </cfRule>
    <cfRule type="cellIs" dxfId="42" priority="58" operator="equal">
      <formula>"Pemeliharaan"</formula>
    </cfRule>
    <cfRule type="cellIs" dxfId="41" priority="51" operator="equal">
      <formula>"Lomba"</formula>
    </cfRule>
    <cfRule type="cellIs" dxfId="40" priority="50" operator="equal">
      <formula>"N_A"</formula>
    </cfRule>
    <cfRule type="cellIs" dxfId="39" priority="52" operator="equal">
      <formula>"Bank"</formula>
    </cfRule>
    <cfRule type="cellIs" dxfId="38" priority="53" operator="equal">
      <formula>"Beli"</formula>
    </cfRule>
    <cfRule type="cellIs" dxfId="37" priority="54" operator="equal">
      <formula>"Tokopedia"</formula>
    </cfRule>
  </conditionalFormatting>
  <conditionalFormatting sqref="L9:L68">
    <cfRule type="expression" dxfId="36" priority="83">
      <formula>AND($K9="Lomba", $L9="CTF")</formula>
    </cfRule>
    <cfRule type="expression" dxfId="35" priority="84">
      <formula>AND($K9="Lomba", $L9="Sepeda")</formula>
    </cfRule>
    <cfRule type="expression" dxfId="34" priority="85">
      <formula>AND($K9="Lomba", $L9="Lari")</formula>
    </cfRule>
    <cfRule type="expression" dxfId="33" priority="86">
      <formula>AND($K9="Lomba", $L9="Jalan Kaki")</formula>
    </cfRule>
    <cfRule type="expression" dxfId="32" priority="87">
      <formula>AND($K9="Bank", $L9="Admin")</formula>
    </cfRule>
    <cfRule type="expression" dxfId="31" priority="88">
      <formula>AND($K9="Beli", $L9="Jajan")</formula>
    </cfRule>
    <cfRule type="expression" dxfId="30" priority="89">
      <formula>AND($K9="Beli", $L9="Bensin")</formula>
    </cfRule>
    <cfRule type="expression" dxfId="29" priority="90">
      <formula>AND($K9="Beli", $L9="Galon")</formula>
    </cfRule>
    <cfRule type="expression" dxfId="28" priority="91">
      <formula>AND($K9="Tokopedia", $L9="Kebutuhan Kos")</formula>
    </cfRule>
    <cfRule type="expression" dxfId="27" priority="92">
      <formula>AND($K9="Bluebird", $L9="Bayar")</formula>
    </cfRule>
    <cfRule type="expression" dxfId="26" priority="93">
      <formula>AND($K9="Gojek", $L9="Topup")</formula>
    </cfRule>
    <cfRule type="expression" dxfId="25" priority="94">
      <formula>AND($K9="Telkomsel", $L9="Topup")</formula>
    </cfRule>
    <cfRule type="expression" dxfId="24" priority="95">
      <formula>AND($K9="Pemeliharaan", $L9="Cuci Motor")</formula>
    </cfRule>
    <cfRule type="expression" dxfId="23" priority="96">
      <formula>AND($K9="Pemeliharaan", $L9="Laundry")</formula>
    </cfRule>
    <cfRule type="expression" dxfId="22" priority="97">
      <formula>AND($K9="Superindo", $L9="Belanja Mingguan")</formula>
    </cfRule>
    <cfRule type="expression" dxfId="21" priority="98">
      <formula>AND($K9="Indomaret", $L9="Jajan")</formula>
    </cfRule>
    <cfRule type="expression" dxfId="20" priority="99">
      <formula>AND($K9="Indomaret", $L9="Kebutuhan Mandi")</formula>
    </cfRule>
    <cfRule type="expression" dxfId="19" priority="100">
      <formula>AND($K9="Indomaret", $L9="Kebutuhan Dapur")</formula>
    </cfRule>
    <cfRule type="expression" dxfId="18" priority="101">
      <formula>AND($K9="Alfamart", $L9="Jajan")</formula>
    </cfRule>
    <cfRule type="expression" dxfId="17" priority="102">
      <formula>AND($K9="Alfamart", $L9="Kebutuhan Mandi")</formula>
    </cfRule>
    <cfRule type="expression" dxfId="16" priority="103">
      <formula>AND($K9="Alfamart", $L9="Kebutuhan Dapur")</formula>
    </cfRule>
  </conditionalFormatting>
  <conditionalFormatting sqref="M9:M68">
    <cfRule type="cellIs" dxfId="15" priority="2" operator="equal">
      <formula>"Digital"</formula>
    </cfRule>
    <cfRule type="cellIs" dxfId="14" priority="1" operator="equal">
      <formula>"N/A"</formula>
    </cfRule>
    <cfRule type="cellIs" dxfId="13" priority="3" operator="equal">
      <formula>"Tunai"</formula>
    </cfRule>
  </conditionalFormatting>
  <dataValidations count="4">
    <dataValidation type="list" allowBlank="1" showInputMessage="1" showErrorMessage="1" sqref="D9:D68 L9:L68" xr:uid="{D6892B7F-6B8A-424B-86D9-CAB2B5CE255E}">
      <formula1>INDIRECT(C9)</formula1>
    </dataValidation>
    <dataValidation type="list" showInputMessage="1" showErrorMessage="1" sqref="C9:C68" xr:uid="{E48B5C27-2531-4AE2-843D-72FDEAE13C01}">
      <formula1>"Sarapan, Makan_Siang, Makan_Malam, N_A,"</formula1>
    </dataValidation>
    <dataValidation type="list" allowBlank="1" showInputMessage="1" showErrorMessage="1" sqref="E9:E68 M9:M68" xr:uid="{DC6B6861-12DD-4AAE-A605-8A63E45EA11A}">
      <formula1>"Tunai, Digital, N/A,"</formula1>
    </dataValidation>
    <dataValidation type="list" allowBlank="1" showInputMessage="1" showErrorMessage="1" sqref="K9:K68" xr:uid="{B3AAA81C-D371-4ED3-9E43-71AC42E69BAE}">
      <formula1>"Alfamart, Indomaret, Superindo, Pemeliharaan, Telkomsel, Gojek, Bluebird, Tokopedia, Beli, Bank, Lomba, N_A,"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EF559-943C-4F96-A0E9-B2A674FEF97D}">
  <dimension ref="B2:H15"/>
  <sheetViews>
    <sheetView workbookViewId="0">
      <selection activeCell="H22" sqref="H22"/>
    </sheetView>
  </sheetViews>
  <sheetFormatPr defaultRowHeight="14.4" customHeight="1" x14ac:dyDescent="0.3"/>
  <cols>
    <col min="1" max="1" width="3.77734375" style="8" customWidth="1"/>
    <col min="2" max="2" width="5.6640625" style="8" customWidth="1"/>
    <col min="3" max="4" width="20.5546875" style="8" customWidth="1"/>
    <col min="5" max="6" width="12.77734375" style="8" customWidth="1"/>
    <col min="7" max="8" width="15.5546875" style="8" customWidth="1"/>
    <col min="9" max="16384" width="8.88671875" style="8"/>
  </cols>
  <sheetData>
    <row r="2" spans="2:8" ht="14.4" customHeight="1" x14ac:dyDescent="0.3">
      <c r="B2" s="62" t="s">
        <v>75</v>
      </c>
      <c r="C2" s="63"/>
      <c r="D2" s="63"/>
      <c r="E2" s="63"/>
      <c r="F2" s="63"/>
      <c r="G2" s="63"/>
      <c r="H2" s="64"/>
    </row>
    <row r="3" spans="2:8" ht="14.4" customHeight="1" x14ac:dyDescent="0.3">
      <c r="B3" s="65"/>
      <c r="C3" s="66"/>
      <c r="D3" s="66"/>
      <c r="E3" s="66"/>
      <c r="F3" s="66"/>
      <c r="G3" s="66"/>
      <c r="H3" s="67"/>
    </row>
    <row r="4" spans="2:8" ht="14.4" customHeight="1" x14ac:dyDescent="0.3">
      <c r="B4" s="68"/>
      <c r="C4" s="69"/>
      <c r="D4" s="69"/>
      <c r="E4" s="69"/>
      <c r="F4" s="69"/>
      <c r="G4" s="69"/>
      <c r="H4" s="70"/>
    </row>
    <row r="5" spans="2:8" ht="14.4" customHeight="1" x14ac:dyDescent="0.3">
      <c r="B5" s="14" t="s">
        <v>3</v>
      </c>
      <c r="C5" s="14" t="s">
        <v>4</v>
      </c>
      <c r="D5" s="14" t="s">
        <v>5</v>
      </c>
      <c r="E5" s="14" t="s">
        <v>44</v>
      </c>
      <c r="F5" s="14" t="s">
        <v>6</v>
      </c>
      <c r="G5" s="14" t="s">
        <v>7</v>
      </c>
      <c r="H5" s="14" t="s">
        <v>8</v>
      </c>
    </row>
    <row r="6" spans="2:8" ht="14.4" customHeight="1" x14ac:dyDescent="0.3">
      <c r="B6" s="14">
        <v>1</v>
      </c>
      <c r="C6" s="14" t="s">
        <v>43</v>
      </c>
      <c r="D6" s="14" t="s">
        <v>15</v>
      </c>
      <c r="E6" s="15" t="s">
        <v>15</v>
      </c>
      <c r="F6" s="16"/>
      <c r="G6" s="18"/>
      <c r="H6" s="18">
        <f>SUM(G6:G15)</f>
        <v>0</v>
      </c>
    </row>
    <row r="7" spans="2:8" ht="14.4" customHeight="1" x14ac:dyDescent="0.3">
      <c r="B7" s="14">
        <v>2</v>
      </c>
      <c r="C7" s="14" t="s">
        <v>43</v>
      </c>
      <c r="D7" s="14" t="s">
        <v>15</v>
      </c>
      <c r="E7" s="15" t="s">
        <v>15</v>
      </c>
      <c r="F7" s="16"/>
      <c r="G7" s="18"/>
      <c r="H7" s="13"/>
    </row>
    <row r="8" spans="2:8" ht="14.4" customHeight="1" x14ac:dyDescent="0.3">
      <c r="B8" s="14">
        <v>3</v>
      </c>
      <c r="C8" s="14" t="s">
        <v>43</v>
      </c>
      <c r="D8" s="14" t="s">
        <v>15</v>
      </c>
      <c r="E8" s="15" t="s">
        <v>15</v>
      </c>
      <c r="F8" s="16"/>
      <c r="G8" s="18"/>
      <c r="H8" s="13"/>
    </row>
    <row r="9" spans="2:8" ht="14.4" customHeight="1" x14ac:dyDescent="0.3">
      <c r="B9" s="14">
        <v>4</v>
      </c>
      <c r="C9" s="14" t="s">
        <v>43</v>
      </c>
      <c r="D9" s="14" t="s">
        <v>15</v>
      </c>
      <c r="E9" s="15" t="s">
        <v>15</v>
      </c>
      <c r="F9" s="16"/>
      <c r="G9" s="18"/>
      <c r="H9" s="13"/>
    </row>
    <row r="10" spans="2:8" ht="14.4" customHeight="1" x14ac:dyDescent="0.3">
      <c r="B10" s="14">
        <v>5</v>
      </c>
      <c r="C10" s="14" t="s">
        <v>43</v>
      </c>
      <c r="D10" s="14" t="s">
        <v>15</v>
      </c>
      <c r="E10" s="15" t="s">
        <v>15</v>
      </c>
      <c r="F10" s="16"/>
      <c r="G10" s="18"/>
      <c r="H10" s="13"/>
    </row>
    <row r="11" spans="2:8" ht="14.4" customHeight="1" x14ac:dyDescent="0.3">
      <c r="B11" s="14">
        <v>6</v>
      </c>
      <c r="C11" s="14" t="s">
        <v>43</v>
      </c>
      <c r="D11" s="14" t="s">
        <v>15</v>
      </c>
      <c r="E11" s="15" t="s">
        <v>15</v>
      </c>
      <c r="F11" s="16"/>
      <c r="G11" s="18"/>
      <c r="H11" s="13"/>
    </row>
    <row r="12" spans="2:8" ht="14.4" customHeight="1" x14ac:dyDescent="0.3">
      <c r="B12" s="14">
        <v>7</v>
      </c>
      <c r="C12" s="14" t="s">
        <v>43</v>
      </c>
      <c r="D12" s="14" t="s">
        <v>15</v>
      </c>
      <c r="E12" s="15" t="s">
        <v>15</v>
      </c>
      <c r="F12" s="16"/>
      <c r="G12" s="18"/>
      <c r="H12" s="13"/>
    </row>
    <row r="13" spans="2:8" ht="14.4" customHeight="1" x14ac:dyDescent="0.3">
      <c r="B13" s="14">
        <v>8</v>
      </c>
      <c r="C13" s="14" t="s">
        <v>43</v>
      </c>
      <c r="D13" s="14" t="s">
        <v>15</v>
      </c>
      <c r="E13" s="15" t="s">
        <v>15</v>
      </c>
      <c r="F13" s="16"/>
      <c r="G13" s="18"/>
      <c r="H13" s="13"/>
    </row>
    <row r="14" spans="2:8" ht="14.4" customHeight="1" x14ac:dyDescent="0.3">
      <c r="B14" s="14">
        <v>9</v>
      </c>
      <c r="C14" s="14" t="s">
        <v>43</v>
      </c>
      <c r="D14" s="14" t="s">
        <v>15</v>
      </c>
      <c r="E14" s="15" t="s">
        <v>15</v>
      </c>
      <c r="F14" s="16"/>
      <c r="G14" s="18"/>
      <c r="H14" s="13"/>
    </row>
    <row r="15" spans="2:8" ht="14.4" customHeight="1" x14ac:dyDescent="0.3">
      <c r="B15" s="14">
        <v>10</v>
      </c>
      <c r="C15" s="14" t="s">
        <v>43</v>
      </c>
      <c r="D15" s="14" t="s">
        <v>15</v>
      </c>
      <c r="E15" s="15" t="s">
        <v>15</v>
      </c>
      <c r="F15" s="16"/>
      <c r="G15" s="18"/>
      <c r="H15" s="13"/>
    </row>
  </sheetData>
  <mergeCells count="1">
    <mergeCell ref="B2:H4"/>
  </mergeCells>
  <conditionalFormatting sqref="C6:C15">
    <cfRule type="cellIs" dxfId="12" priority="4" operator="equal">
      <formula>"N_A"</formula>
    </cfRule>
    <cfRule type="cellIs" dxfId="11" priority="5" operator="equal">
      <formula>"Transisi"</formula>
    </cfRule>
    <cfRule type="cellIs" dxfId="10" priority="6" operator="equal">
      <formula>"Sisa"</formula>
    </cfRule>
    <cfRule type="cellIs" dxfId="9" priority="7" operator="equal">
      <formula>"Uang_Bulanan"</formula>
    </cfRule>
  </conditionalFormatting>
  <conditionalFormatting sqref="D6:D15">
    <cfRule type="expression" dxfId="8" priority="8">
      <formula>AND($C6="Transisi", $D6="Tarik Tunai")</formula>
    </cfRule>
    <cfRule type="expression" dxfId="7" priority="9">
      <formula>AND($C6="Transisi", $D6="Deposit")</formula>
    </cfRule>
    <cfRule type="expression" dxfId="6" priority="10">
      <formula>AND($C6="Sisa", $D6="Bulan Lalu")</formula>
    </cfRule>
    <cfRule type="expression" dxfId="5" priority="11">
      <formula>AND($C6="Uang_Bulanan", $D6="Gaji")</formula>
    </cfRule>
    <cfRule type="expression" dxfId="4" priority="12">
      <formula>AND($C6="Uang_Bulanan", $D6="Beasiswa")</formula>
    </cfRule>
    <cfRule type="expression" dxfId="3" priority="13">
      <formula>AND($C6="Uang_Bulanan", $D6="Ortu")</formula>
    </cfRule>
  </conditionalFormatting>
  <conditionalFormatting sqref="E6:E15">
    <cfRule type="cellIs" dxfId="2" priority="1" operator="equal">
      <formula>"N/A"</formula>
    </cfRule>
    <cfRule type="cellIs" dxfId="1" priority="2" operator="equal">
      <formula>"Digital"</formula>
    </cfRule>
    <cfRule type="cellIs" dxfId="0" priority="3" operator="equal">
      <formula>"Tunai"</formula>
    </cfRule>
  </conditionalFormatting>
  <dataValidations count="3">
    <dataValidation type="list" allowBlank="1" showInputMessage="1" showErrorMessage="1" sqref="D6:D15" xr:uid="{793E58BE-966D-40EA-A249-5A82C543C870}">
      <formula1>INDIRECT(C6)</formula1>
    </dataValidation>
    <dataValidation type="list" allowBlank="1" showInputMessage="1" showErrorMessage="1" sqref="C6:C15" xr:uid="{B1E53059-DCB3-4715-B164-DBDC673D0DC4}">
      <formula1>"Uang_Bulanan, Sisa, Transisi, N_A"</formula1>
    </dataValidation>
    <dataValidation type="list" allowBlank="1" showInputMessage="1" showErrorMessage="1" sqref="E6:E15" xr:uid="{2176801C-8FD9-4452-BD36-FBA818CCB2BE}">
      <formula1>IF(OR(D6="Deposit",D6="Tarik Tunai"),Transisi_NA,Pembayaran)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DDC01-CDBE-496D-9D66-144D02CA13AC}">
  <dimension ref="A1:P41"/>
  <sheetViews>
    <sheetView zoomScaleNormal="100" workbookViewId="0">
      <selection activeCell="G19" sqref="G19"/>
    </sheetView>
  </sheetViews>
  <sheetFormatPr defaultColWidth="17.77734375" defaultRowHeight="14.4" x14ac:dyDescent="0.3"/>
  <cols>
    <col min="5" max="5" width="1.77734375" customWidth="1"/>
  </cols>
  <sheetData>
    <row r="1" spans="1:16" ht="14.4" customHeight="1" x14ac:dyDescent="0.3">
      <c r="A1" s="150" t="s">
        <v>40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</row>
    <row r="2" spans="1:16" ht="14.4" customHeight="1" x14ac:dyDescent="0.3">
      <c r="A2" s="150"/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</row>
    <row r="4" spans="1:16" x14ac:dyDescent="0.3">
      <c r="A4" s="2" t="s">
        <v>12</v>
      </c>
      <c r="B4" s="2" t="s">
        <v>13</v>
      </c>
      <c r="C4" s="2" t="s">
        <v>14</v>
      </c>
      <c r="D4" s="2" t="s">
        <v>15</v>
      </c>
      <c r="F4" s="2" t="s">
        <v>16</v>
      </c>
      <c r="G4" s="2" t="s">
        <v>17</v>
      </c>
      <c r="H4" s="2" t="s">
        <v>18</v>
      </c>
      <c r="I4" s="2" t="s">
        <v>90</v>
      </c>
      <c r="J4" s="2" t="s">
        <v>20</v>
      </c>
      <c r="K4" s="2" t="s">
        <v>21</v>
      </c>
      <c r="L4" s="2" t="s">
        <v>22</v>
      </c>
      <c r="M4" s="2" t="s">
        <v>23</v>
      </c>
      <c r="N4" s="2" t="s">
        <v>87</v>
      </c>
      <c r="O4" s="7" t="s">
        <v>99</v>
      </c>
      <c r="P4" s="6" t="s">
        <v>100</v>
      </c>
    </row>
    <row r="5" spans="1:16" x14ac:dyDescent="0.3">
      <c r="A5" s="3" t="s">
        <v>24</v>
      </c>
      <c r="B5" s="3" t="s">
        <v>24</v>
      </c>
      <c r="C5" s="3" t="s">
        <v>24</v>
      </c>
      <c r="D5" s="3" t="s">
        <v>15</v>
      </c>
      <c r="F5" s="3" t="s">
        <v>26</v>
      </c>
      <c r="G5" s="3" t="s">
        <v>26</v>
      </c>
      <c r="H5" s="3" t="s">
        <v>38</v>
      </c>
      <c r="I5" s="3" t="s">
        <v>19</v>
      </c>
      <c r="J5" s="3" t="s">
        <v>27</v>
      </c>
      <c r="K5" s="3" t="s">
        <v>27</v>
      </c>
      <c r="L5" s="3" t="s">
        <v>28</v>
      </c>
      <c r="M5" s="3" t="s">
        <v>29</v>
      </c>
      <c r="N5" s="3" t="s">
        <v>88</v>
      </c>
      <c r="O5" s="4" t="s">
        <v>105</v>
      </c>
      <c r="P5" s="3" t="s">
        <v>101</v>
      </c>
    </row>
    <row r="6" spans="1:16" x14ac:dyDescent="0.3">
      <c r="A6" s="3" t="s">
        <v>30</v>
      </c>
      <c r="B6" s="3" t="s">
        <v>25</v>
      </c>
      <c r="C6" s="3" t="s">
        <v>31</v>
      </c>
      <c r="F6" s="3" t="s">
        <v>33</v>
      </c>
      <c r="G6" s="3" t="s">
        <v>33</v>
      </c>
      <c r="H6" s="3"/>
      <c r="I6" s="4" t="s">
        <v>91</v>
      </c>
      <c r="J6" s="4"/>
      <c r="K6" s="4"/>
      <c r="L6" s="4"/>
      <c r="M6" s="4"/>
      <c r="N6" s="3" t="s">
        <v>89</v>
      </c>
      <c r="P6" s="4" t="s">
        <v>102</v>
      </c>
    </row>
    <row r="7" spans="1:16" x14ac:dyDescent="0.3">
      <c r="A7" s="3" t="s">
        <v>34</v>
      </c>
      <c r="B7" s="3" t="s">
        <v>35</v>
      </c>
      <c r="C7" s="3" t="s">
        <v>34</v>
      </c>
      <c r="F7" s="4" t="s">
        <v>36</v>
      </c>
      <c r="G7" s="4" t="s">
        <v>36</v>
      </c>
      <c r="H7" s="4"/>
      <c r="I7" s="4"/>
      <c r="J7" s="4"/>
      <c r="K7" s="4"/>
      <c r="L7" s="4"/>
      <c r="M7" s="4"/>
      <c r="N7" s="3" t="s">
        <v>36</v>
      </c>
      <c r="P7" s="4" t="s">
        <v>103</v>
      </c>
    </row>
    <row r="8" spans="1:16" x14ac:dyDescent="0.3">
      <c r="A8" s="3" t="s">
        <v>37</v>
      </c>
      <c r="B8" s="3" t="s">
        <v>34</v>
      </c>
      <c r="C8" s="3" t="s">
        <v>32</v>
      </c>
      <c r="P8" s="4" t="s">
        <v>104</v>
      </c>
    </row>
    <row r="9" spans="1:16" x14ac:dyDescent="0.3">
      <c r="A9" s="3" t="s">
        <v>92</v>
      </c>
      <c r="B9" s="3" t="s">
        <v>32</v>
      </c>
      <c r="C9" s="3" t="s">
        <v>37</v>
      </c>
      <c r="H9" s="5"/>
      <c r="P9" s="4"/>
    </row>
    <row r="10" spans="1:16" x14ac:dyDescent="0.3">
      <c r="A10" s="3"/>
      <c r="B10" s="3" t="s">
        <v>37</v>
      </c>
      <c r="C10" s="3" t="s">
        <v>93</v>
      </c>
      <c r="H10" s="5"/>
    </row>
    <row r="11" spans="1:16" x14ac:dyDescent="0.3">
      <c r="H11" s="1"/>
    </row>
    <row r="12" spans="1:16" x14ac:dyDescent="0.3">
      <c r="A12" t="s">
        <v>106</v>
      </c>
      <c r="B12" t="s">
        <v>107</v>
      </c>
      <c r="C12" t="s">
        <v>108</v>
      </c>
      <c r="D12" t="s">
        <v>122</v>
      </c>
      <c r="F12" t="s">
        <v>109</v>
      </c>
      <c r="G12" t="s">
        <v>110</v>
      </c>
      <c r="H12" t="s">
        <v>111</v>
      </c>
      <c r="I12" t="s">
        <v>112</v>
      </c>
      <c r="J12" t="s">
        <v>113</v>
      </c>
      <c r="K12" t="s">
        <v>114</v>
      </c>
      <c r="L12" t="s">
        <v>115</v>
      </c>
      <c r="M12" t="s">
        <v>116</v>
      </c>
      <c r="N12" t="s">
        <v>117</v>
      </c>
      <c r="O12" t="s">
        <v>118</v>
      </c>
      <c r="P12" t="s">
        <v>119</v>
      </c>
    </row>
    <row r="13" spans="1:16" x14ac:dyDescent="0.3">
      <c r="A13" t="s">
        <v>123</v>
      </c>
      <c r="B13" t="s">
        <v>124</v>
      </c>
      <c r="C13" t="s">
        <v>125</v>
      </c>
      <c r="F13" t="s">
        <v>126</v>
      </c>
      <c r="G13" t="s">
        <v>127</v>
      </c>
      <c r="H13" t="s">
        <v>128</v>
      </c>
      <c r="I13" t="s">
        <v>129</v>
      </c>
      <c r="J13" t="s">
        <v>130</v>
      </c>
      <c r="K13" t="s">
        <v>131</v>
      </c>
      <c r="L13" t="s">
        <v>125</v>
      </c>
      <c r="M13" t="s">
        <v>132</v>
      </c>
      <c r="N13" t="s">
        <v>133</v>
      </c>
      <c r="O13" t="s">
        <v>134</v>
      </c>
      <c r="P13" t="s">
        <v>135</v>
      </c>
    </row>
    <row r="15" spans="1:16" x14ac:dyDescent="0.3">
      <c r="A15" s="150" t="s">
        <v>41</v>
      </c>
      <c r="B15" s="150"/>
      <c r="C15" s="150"/>
      <c r="D15" s="150"/>
      <c r="E15" s="150"/>
      <c r="F15" s="150"/>
      <c r="G15" s="150"/>
      <c r="H15" s="150"/>
      <c r="I15" s="150"/>
      <c r="J15" s="150"/>
      <c r="K15" s="150"/>
      <c r="L15" s="150"/>
      <c r="M15" s="150"/>
    </row>
    <row r="16" spans="1:16" x14ac:dyDescent="0.3">
      <c r="A16" s="150"/>
      <c r="B16" s="150"/>
      <c r="C16" s="150"/>
      <c r="D16" s="150"/>
      <c r="E16" s="150"/>
      <c r="F16" s="150"/>
      <c r="G16" s="150"/>
      <c r="H16" s="150"/>
      <c r="I16" s="150"/>
      <c r="J16" s="150"/>
      <c r="K16" s="150"/>
      <c r="L16" s="150"/>
      <c r="M16" s="150"/>
    </row>
    <row r="18" spans="1:6" x14ac:dyDescent="0.3">
      <c r="A18" s="2" t="s">
        <v>67</v>
      </c>
      <c r="B18" s="2" t="s">
        <v>15</v>
      </c>
      <c r="C18" s="6" t="s">
        <v>94</v>
      </c>
      <c r="D18" s="6" t="s">
        <v>95</v>
      </c>
      <c r="F18" s="6" t="s">
        <v>44</v>
      </c>
    </row>
    <row r="19" spans="1:6" x14ac:dyDescent="0.3">
      <c r="A19" s="3" t="s">
        <v>68</v>
      </c>
      <c r="B19" s="3" t="s">
        <v>15</v>
      </c>
      <c r="C19" s="4" t="s">
        <v>96</v>
      </c>
      <c r="D19" s="4" t="s">
        <v>97</v>
      </c>
      <c r="F19" s="4" t="s">
        <v>59</v>
      </c>
    </row>
    <row r="20" spans="1:6" x14ac:dyDescent="0.3">
      <c r="A20" s="3" t="s">
        <v>69</v>
      </c>
      <c r="C20" s="1"/>
      <c r="D20" s="4" t="s">
        <v>98</v>
      </c>
      <c r="F20" s="4" t="s">
        <v>57</v>
      </c>
    </row>
    <row r="21" spans="1:6" x14ac:dyDescent="0.3">
      <c r="A21" s="3" t="s">
        <v>70</v>
      </c>
      <c r="F21" s="4" t="s">
        <v>15</v>
      </c>
    </row>
    <row r="22" spans="1:6" x14ac:dyDescent="0.3">
      <c r="F22" s="4" t="s">
        <v>15</v>
      </c>
    </row>
    <row r="26" spans="1:6" x14ac:dyDescent="0.3">
      <c r="A26" t="s">
        <v>106</v>
      </c>
      <c r="B26" t="s">
        <v>122</v>
      </c>
      <c r="C26" t="s">
        <v>120</v>
      </c>
      <c r="D26" t="s">
        <v>121</v>
      </c>
    </row>
    <row r="27" spans="1:6" x14ac:dyDescent="0.3">
      <c r="A27" t="s">
        <v>136</v>
      </c>
      <c r="C27" t="s">
        <v>137</v>
      </c>
      <c r="D27" t="s">
        <v>138</v>
      </c>
    </row>
    <row r="30" spans="1:6" x14ac:dyDescent="0.3">
      <c r="A30" s="1" t="s">
        <v>0</v>
      </c>
      <c r="B30" s="1" t="s">
        <v>1</v>
      </c>
      <c r="C30" s="1" t="s">
        <v>50</v>
      </c>
    </row>
    <row r="31" spans="1:6" x14ac:dyDescent="0.3">
      <c r="A31" s="1" t="s">
        <v>2</v>
      </c>
      <c r="B31" s="1">
        <v>8.11</v>
      </c>
      <c r="C31" s="1">
        <v>14.4</v>
      </c>
    </row>
    <row r="32" spans="1:6" x14ac:dyDescent="0.3">
      <c r="A32" s="1" t="s">
        <v>3</v>
      </c>
      <c r="B32" s="1">
        <v>4.8899999999999997</v>
      </c>
      <c r="C32" s="1"/>
    </row>
    <row r="33" spans="1:3" x14ac:dyDescent="0.3">
      <c r="A33" s="1" t="s">
        <v>4</v>
      </c>
      <c r="B33" s="1">
        <v>19.78</v>
      </c>
      <c r="C33" s="1"/>
    </row>
    <row r="34" spans="1:3" x14ac:dyDescent="0.3">
      <c r="A34" s="1" t="s">
        <v>5</v>
      </c>
      <c r="B34" s="1">
        <v>19.78</v>
      </c>
      <c r="C34" s="1"/>
    </row>
    <row r="35" spans="1:3" x14ac:dyDescent="0.3">
      <c r="A35" s="1" t="s">
        <v>44</v>
      </c>
      <c r="B35" s="1">
        <v>12</v>
      </c>
      <c r="C35" s="1"/>
    </row>
    <row r="36" spans="1:3" x14ac:dyDescent="0.3">
      <c r="A36" s="1" t="s">
        <v>6</v>
      </c>
      <c r="B36" s="1">
        <v>12</v>
      </c>
      <c r="C36" s="1"/>
    </row>
    <row r="37" spans="1:3" x14ac:dyDescent="0.3">
      <c r="A37" s="1" t="s">
        <v>7</v>
      </c>
      <c r="B37" s="1">
        <v>14.78</v>
      </c>
      <c r="C37" s="1"/>
    </row>
    <row r="38" spans="1:3" x14ac:dyDescent="0.3">
      <c r="A38" s="1" t="s">
        <v>8</v>
      </c>
      <c r="B38" s="1">
        <v>14.78</v>
      </c>
      <c r="C38" s="1"/>
    </row>
    <row r="39" spans="1:3" x14ac:dyDescent="0.3">
      <c r="A39" s="1" t="s">
        <v>9</v>
      </c>
      <c r="B39" s="1">
        <v>11</v>
      </c>
      <c r="C39" s="1">
        <v>19.8</v>
      </c>
    </row>
    <row r="40" spans="1:3" x14ac:dyDescent="0.3">
      <c r="A40" s="1" t="s">
        <v>10</v>
      </c>
      <c r="B40" s="1">
        <v>17</v>
      </c>
      <c r="C40" s="1"/>
    </row>
    <row r="41" spans="1:3" x14ac:dyDescent="0.3">
      <c r="A41" s="1" t="s">
        <v>11</v>
      </c>
      <c r="B41" s="1">
        <v>11</v>
      </c>
      <c r="C41" s="1"/>
    </row>
  </sheetData>
  <mergeCells count="2">
    <mergeCell ref="A15:M16"/>
    <mergeCell ref="A1: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22</vt:i4>
      </vt:variant>
    </vt:vector>
  </HeadingPairs>
  <TitlesOfParts>
    <vt:vector size="27" baseType="lpstr">
      <vt:lpstr>Dashboard</vt:lpstr>
      <vt:lpstr>Detail Transaksi</vt:lpstr>
      <vt:lpstr>Pengeluaran</vt:lpstr>
      <vt:lpstr>Pendapatan</vt:lpstr>
      <vt:lpstr>Pendukung</vt:lpstr>
      <vt:lpstr>Alfamart</vt:lpstr>
      <vt:lpstr>Bank</vt:lpstr>
      <vt:lpstr>Beli</vt:lpstr>
      <vt:lpstr>Bluebird</vt:lpstr>
      <vt:lpstr>Gojek</vt:lpstr>
      <vt:lpstr>Indomaret</vt:lpstr>
      <vt:lpstr>Lomba</vt:lpstr>
      <vt:lpstr>Makan_Malam</vt:lpstr>
      <vt:lpstr>Makan_Siang</vt:lpstr>
      <vt:lpstr>N_A</vt:lpstr>
      <vt:lpstr>Pendapatan!Pembayaran</vt:lpstr>
      <vt:lpstr>Pembayaran</vt:lpstr>
      <vt:lpstr>Pemeliharaan</vt:lpstr>
      <vt:lpstr>Sarapan</vt:lpstr>
      <vt:lpstr>Sisa</vt:lpstr>
      <vt:lpstr>Superindo</vt:lpstr>
      <vt:lpstr>Telkomsel</vt:lpstr>
      <vt:lpstr>Tokopedia</vt:lpstr>
      <vt:lpstr>Transisi</vt:lpstr>
      <vt:lpstr>Pendapatan!Transisi_NA</vt:lpstr>
      <vt:lpstr>Transisi_NA</vt:lpstr>
      <vt:lpstr>Uang_Bulanan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 14s</cp:lastModifiedBy>
  <dcterms:created xsi:type="dcterms:W3CDTF">2015-06-05T18:17:20Z</dcterms:created>
  <dcterms:modified xsi:type="dcterms:W3CDTF">2025-10-03T22:23:10Z</dcterms:modified>
</cp:coreProperties>
</file>