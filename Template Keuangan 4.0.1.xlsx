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k Pribadi\Projek Keuangan\Development\"/>
    </mc:Choice>
  </mc:AlternateContent>
  <xr:revisionPtr revIDLastSave="0" documentId="13_ncr:1_{54D2DC0E-B29C-4231-8D61-67C41A969A17}" xr6:coauthVersionLast="47" xr6:coauthVersionMax="47" xr10:uidLastSave="{00000000-0000-0000-0000-000000000000}"/>
  <bookViews>
    <workbookView xWindow="-108" yWindow="-108" windowWidth="23256" windowHeight="12456" tabRatio="731" xr2:uid="{00000000-000D-0000-FFFF-FFFF00000000}"/>
  </bookViews>
  <sheets>
    <sheet name="Dashboard" sheetId="1" r:id="rId1"/>
    <sheet name="Detail Transaksi" sheetId="7" r:id="rId2"/>
    <sheet name="Pengeluaran" sheetId="8" r:id="rId3"/>
    <sheet name="Pendapatan" sheetId="9" r:id="rId4"/>
    <sheet name="Akhir Bulan" sheetId="12" r:id="rId5"/>
    <sheet name="Pendukung" sheetId="10" r:id="rId6"/>
    <sheet name="Kalkulasi" sheetId="13" r:id="rId7"/>
  </sheets>
  <definedNames>
    <definedName name="Alfamart">Pendukung!$C$21:$C$24</definedName>
    <definedName name="Bank">Pendukung!$K$21</definedName>
    <definedName name="Beli">Pendukung!$J$21:$J$22</definedName>
    <definedName name="Bluebird">Pendukung!$I$21</definedName>
    <definedName name="Buka_Puasa">Pendukung!$G$7:$G$9</definedName>
    <definedName name="Event_Lomba">Pendukung!$L$21:$L$24</definedName>
    <definedName name="Gojek">Pendukung!$H$21</definedName>
    <definedName name="Indomaret">Pendukung!$D$21:$D$24</definedName>
    <definedName name="Jajan">Pendukung!$C$35:$C$40</definedName>
    <definedName name="Makan_Malam">Pendukung!$E$7:$E$13</definedName>
    <definedName name="Makan_Siang">Pendukung!$D$7:$D$13</definedName>
    <definedName name="N_A">Pendukung!$F$49</definedName>
    <definedName name="Pembayaran">Pendukung!$G$49:$G$51</definedName>
    <definedName name="Pemeliharaan">Pendukung!$F$21:$F$22</definedName>
    <definedName name="Sahur">Pendukung!$F$7:$F$8</definedName>
    <definedName name="Sarapan">Pendukung!$C$7:$C$11</definedName>
    <definedName name="Sisa">Pendukung!$D$49</definedName>
    <definedName name="Superindo">Pendukung!$E$21</definedName>
    <definedName name="Telkomsel">Pendukung!$G$21</definedName>
    <definedName name="Tokopedia">Pendukung!$M$21:$M$22</definedName>
    <definedName name="Transisi">Pendukung!$E$49:$E$50</definedName>
    <definedName name="Transisi_NA">Pendukung!$G$57</definedName>
    <definedName name="Uang_Bulanan">Pendukung!$C$49:$C$51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13" l="1"/>
  <c r="D57" i="12"/>
  <c r="S36" i="12"/>
  <c r="S38" i="12"/>
  <c r="S34" i="12"/>
  <c r="P36" i="12"/>
  <c r="P34" i="12"/>
  <c r="M36" i="12"/>
  <c r="M38" i="12"/>
  <c r="M40" i="12"/>
  <c r="M42" i="12"/>
  <c r="M44" i="12"/>
  <c r="M34" i="12"/>
  <c r="J36" i="12"/>
  <c r="J38" i="12"/>
  <c r="J40" i="12"/>
  <c r="J42" i="12"/>
  <c r="J44" i="12"/>
  <c r="J46" i="12"/>
  <c r="J48" i="12"/>
  <c r="J34" i="12"/>
  <c r="G36" i="12"/>
  <c r="G38" i="12"/>
  <c r="G40" i="12"/>
  <c r="G42" i="12"/>
  <c r="G44" i="12"/>
  <c r="G46" i="12"/>
  <c r="G48" i="12"/>
  <c r="G34" i="12"/>
  <c r="D36" i="12"/>
  <c r="D38" i="12"/>
  <c r="D40" i="12"/>
  <c r="D42" i="12"/>
  <c r="D34" i="12"/>
  <c r="C13" i="13"/>
  <c r="L52" i="13"/>
  <c r="L51" i="13"/>
  <c r="L50" i="13"/>
  <c r="J51" i="13"/>
  <c r="J50" i="13"/>
  <c r="H55" i="13"/>
  <c r="L44" i="12" s="1"/>
  <c r="H54" i="13"/>
  <c r="H53" i="13"/>
  <c r="H52" i="13"/>
  <c r="H51" i="13"/>
  <c r="H50" i="13"/>
  <c r="F57" i="13"/>
  <c r="F56" i="13"/>
  <c r="F55" i="13"/>
  <c r="F54" i="13"/>
  <c r="F53" i="13"/>
  <c r="F52" i="13"/>
  <c r="F51" i="13"/>
  <c r="F50" i="13"/>
  <c r="D57" i="13"/>
  <c r="D56" i="13"/>
  <c r="D55" i="13"/>
  <c r="D54" i="13"/>
  <c r="D53" i="13"/>
  <c r="D52" i="13"/>
  <c r="D51" i="13"/>
  <c r="D50" i="13"/>
  <c r="B54" i="13"/>
  <c r="B53" i="13"/>
  <c r="B52" i="13"/>
  <c r="B51" i="13"/>
  <c r="B50" i="13"/>
  <c r="B47" i="13"/>
  <c r="C47" i="13"/>
  <c r="A47" i="13"/>
  <c r="B44" i="13"/>
  <c r="C44" i="13"/>
  <c r="D44" i="13"/>
  <c r="E44" i="13"/>
  <c r="F44" i="13"/>
  <c r="G44" i="13"/>
  <c r="A44" i="13"/>
  <c r="B41" i="13"/>
  <c r="C41" i="13"/>
  <c r="D41" i="13"/>
  <c r="E41" i="13"/>
  <c r="F41" i="13"/>
  <c r="G41" i="13"/>
  <c r="A41" i="13"/>
  <c r="B38" i="13"/>
  <c r="C38" i="13"/>
  <c r="D38" i="13"/>
  <c r="E38" i="13"/>
  <c r="F38" i="13"/>
  <c r="G38" i="13"/>
  <c r="A38" i="13"/>
  <c r="B35" i="13"/>
  <c r="C35" i="13"/>
  <c r="D35" i="13"/>
  <c r="E35" i="13"/>
  <c r="F35" i="13"/>
  <c r="G35" i="13"/>
  <c r="A35" i="13"/>
  <c r="A23" i="13"/>
  <c r="C10" i="13"/>
  <c r="C7" i="13"/>
  <c r="C4" i="13"/>
  <c r="H10" i="13" a="1"/>
  <c r="H10" i="13" s="1"/>
  <c r="H4" i="13" a="1"/>
  <c r="H4" i="13" s="1"/>
  <c r="D13" i="13"/>
  <c r="D10" i="13"/>
  <c r="F10" i="13" a="1"/>
  <c r="F10" i="13" s="1"/>
  <c r="E10" i="13" a="1"/>
  <c r="E10" i="13" s="1"/>
  <c r="F4" i="13" a="1"/>
  <c r="F4" i="13" s="1"/>
  <c r="E4" i="13" a="1"/>
  <c r="E4" i="13" s="1"/>
  <c r="M55" i="12" l="1"/>
  <c r="M57" i="12"/>
  <c r="M59" i="12"/>
  <c r="M53" i="12"/>
  <c r="J53" i="12"/>
  <c r="J55" i="12"/>
  <c r="J57" i="12"/>
  <c r="J59" i="12"/>
  <c r="G53" i="12"/>
  <c r="G55" i="12"/>
  <c r="G57" i="12"/>
  <c r="G59" i="12"/>
  <c r="G61" i="12"/>
  <c r="D53" i="12"/>
  <c r="D55" i="12"/>
  <c r="D59" i="12"/>
  <c r="D61" i="12"/>
  <c r="B60" i="13"/>
  <c r="D64" i="13"/>
  <c r="A26" i="13"/>
  <c r="I48" i="12"/>
  <c r="F48" i="12" l="1"/>
  <c r="F61" i="12"/>
  <c r="R38" i="12"/>
  <c r="R36" i="12"/>
  <c r="R34" i="12"/>
  <c r="O36" i="12"/>
  <c r="O34" i="12"/>
  <c r="L34" i="12"/>
  <c r="L42" i="12"/>
  <c r="L40" i="12"/>
  <c r="L38" i="12"/>
  <c r="L36" i="12"/>
  <c r="I46" i="12"/>
  <c r="I44" i="12"/>
  <c r="I42" i="12"/>
  <c r="I40" i="12"/>
  <c r="I38" i="12"/>
  <c r="I36" i="12"/>
  <c r="I34" i="12"/>
  <c r="F38" i="12"/>
  <c r="F36" i="12"/>
  <c r="F34" i="12"/>
  <c r="C36" i="12"/>
  <c r="B10" i="12"/>
  <c r="P9" i="8"/>
  <c r="H7" i="13" s="1"/>
  <c r="K49" i="7" s="1"/>
  <c r="H63" i="13"/>
  <c r="L59" i="12" s="1"/>
  <c r="H62" i="13"/>
  <c r="L57" i="12" s="1"/>
  <c r="H61" i="13"/>
  <c r="L55" i="12" s="1"/>
  <c r="F63" i="13"/>
  <c r="I59" i="12" s="1"/>
  <c r="F62" i="13"/>
  <c r="I57" i="12" s="1"/>
  <c r="F61" i="13"/>
  <c r="I55" i="12" s="1"/>
  <c r="D63" i="13"/>
  <c r="F59" i="12" s="1"/>
  <c r="D62" i="13"/>
  <c r="F57" i="12" s="1"/>
  <c r="D61" i="13"/>
  <c r="F55" i="12" s="1"/>
  <c r="B64" i="13"/>
  <c r="C61" i="12" s="1"/>
  <c r="B63" i="13"/>
  <c r="C59" i="12" s="1"/>
  <c r="B62" i="13"/>
  <c r="C57" i="12" s="1"/>
  <c r="B61" i="13"/>
  <c r="C55" i="12" s="1"/>
  <c r="C42" i="12"/>
  <c r="C40" i="12"/>
  <c r="C38" i="12"/>
  <c r="H60" i="13"/>
  <c r="L53" i="12" s="1"/>
  <c r="F60" i="13"/>
  <c r="I53" i="12" s="1"/>
  <c r="D60" i="13"/>
  <c r="F53" i="12" s="1"/>
  <c r="C53" i="12"/>
  <c r="C34" i="12"/>
  <c r="B26" i="12"/>
  <c r="H41" i="13"/>
  <c r="J16" i="12" s="1"/>
  <c r="C26" i="12"/>
  <c r="B22" i="12"/>
  <c r="C22" i="12"/>
  <c r="D22" i="12"/>
  <c r="E22" i="12"/>
  <c r="F22" i="12"/>
  <c r="G22" i="12"/>
  <c r="H22" i="12"/>
  <c r="B18" i="12"/>
  <c r="C18" i="12"/>
  <c r="D18" i="12"/>
  <c r="E18" i="12"/>
  <c r="F18" i="12"/>
  <c r="G18" i="12"/>
  <c r="H18" i="12"/>
  <c r="B14" i="12"/>
  <c r="C14" i="12"/>
  <c r="D14" i="12"/>
  <c r="E14" i="12"/>
  <c r="F14" i="12"/>
  <c r="G14" i="12"/>
  <c r="H14" i="12"/>
  <c r="D10" i="12"/>
  <c r="E10" i="12"/>
  <c r="F10" i="12"/>
  <c r="G10" i="12"/>
  <c r="H10" i="12"/>
  <c r="C10" i="12"/>
  <c r="A30" i="13"/>
  <c r="H6" i="9" s="1"/>
  <c r="B10" i="13"/>
  <c r="R15" i="7" s="1"/>
  <c r="H9" i="8"/>
  <c r="K12" i="7"/>
  <c r="K51" i="7"/>
  <c r="K47" i="7"/>
  <c r="P34" i="7"/>
  <c r="F7" i="13"/>
  <c r="P33" i="7" s="1"/>
  <c r="P32" i="7"/>
  <c r="B34" i="7"/>
  <c r="E7" i="13"/>
  <c r="B33" i="7" s="1"/>
  <c r="B20" i="7"/>
  <c r="W28" i="7"/>
  <c r="W23" i="7"/>
  <c r="D4" i="13"/>
  <c r="W13" i="7" s="1"/>
  <c r="I31" i="7"/>
  <c r="K16" i="7"/>
  <c r="K14" i="7"/>
  <c r="K10" i="7"/>
  <c r="B4" i="13"/>
  <c r="R9" i="7" s="1"/>
  <c r="A10" i="13"/>
  <c r="D15" i="7" s="1"/>
  <c r="A4" i="13"/>
  <c r="D9" i="7" s="1"/>
  <c r="A7" i="13" s="1"/>
  <c r="B7" i="13" l="1"/>
  <c r="R12" i="7" s="1"/>
  <c r="F13" i="13" s="1"/>
  <c r="K8" i="7"/>
  <c r="I19" i="7"/>
  <c r="I20" i="7"/>
  <c r="I22" i="7"/>
  <c r="I33" i="7"/>
  <c r="I23" i="7"/>
  <c r="I34" i="7"/>
  <c r="I21" i="7"/>
  <c r="I32" i="7"/>
  <c r="I35" i="7"/>
  <c r="F46" i="12"/>
  <c r="F44" i="12"/>
  <c r="F42" i="12"/>
  <c r="F40" i="12"/>
  <c r="I41" i="13"/>
  <c r="B21" i="7"/>
  <c r="B22" i="7"/>
  <c r="J10" i="13"/>
  <c r="R51" i="7" s="1"/>
  <c r="J4" i="13"/>
  <c r="R47" i="7" s="1"/>
  <c r="P21" i="7"/>
  <c r="P22" i="7"/>
  <c r="B32" i="7"/>
  <c r="P20" i="7"/>
  <c r="J7" i="13"/>
  <c r="R49" i="7" s="1"/>
  <c r="D7" i="13"/>
  <c r="W18" i="7" s="1"/>
  <c r="D12" i="7"/>
  <c r="E13" i="13" s="1"/>
  <c r="H35" i="13"/>
  <c r="J9" i="12" s="1"/>
  <c r="D16" i="13"/>
  <c r="W33" i="7" s="1"/>
  <c r="P35" i="7" l="1"/>
  <c r="P23" i="7"/>
  <c r="J41" i="13"/>
  <c r="K41" i="13" s="1"/>
  <c r="L16" i="12"/>
  <c r="B35" i="7"/>
  <c r="B23" i="7"/>
  <c r="N16" i="12" l="1"/>
  <c r="I35" i="13"/>
  <c r="L9" i="12" s="1"/>
  <c r="H44" i="13"/>
  <c r="R16" i="12" s="1"/>
  <c r="P16" i="12"/>
  <c r="C19" i="13"/>
  <c r="I24" i="7" s="1"/>
  <c r="J35" i="13" l="1"/>
  <c r="K35" i="13" s="1"/>
  <c r="N9" i="12" l="1"/>
  <c r="H38" i="13"/>
  <c r="R9" i="12" s="1"/>
  <c r="P9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<sst xmlns="http://schemas.openxmlformats.org/spreadsheetml/2006/main" count="1137" uniqueCount="311">
  <si>
    <t>No</t>
  </si>
  <si>
    <t>Kategori</t>
  </si>
  <si>
    <t>Detail</t>
  </si>
  <si>
    <t>Tanggal</t>
  </si>
  <si>
    <t>Harga</t>
  </si>
  <si>
    <t>Total</t>
  </si>
  <si>
    <t>Sarapan</t>
  </si>
  <si>
    <t>Makan Siang</t>
  </si>
  <si>
    <t>Makan Malam</t>
  </si>
  <si>
    <t>N/A</t>
  </si>
  <si>
    <t>Alfamart</t>
  </si>
  <si>
    <t>Indomaret</t>
  </si>
  <si>
    <t>Superindo</t>
  </si>
  <si>
    <t>Laundry</t>
  </si>
  <si>
    <t>Telkomsel</t>
  </si>
  <si>
    <t>Gojek</t>
  </si>
  <si>
    <t>Bluebird</t>
  </si>
  <si>
    <t>Tokopedia</t>
  </si>
  <si>
    <t>Warteg</t>
  </si>
  <si>
    <t>Balsan</t>
  </si>
  <si>
    <t>Kebutuhan Dapur</t>
  </si>
  <si>
    <t>Kebutuhan Kos</t>
  </si>
  <si>
    <t>Nasi Kuning</t>
  </si>
  <si>
    <t>Nasi Goreng</t>
  </si>
  <si>
    <t>Burger Bangor</t>
  </si>
  <si>
    <t>Kebutuhan Mandi</t>
  </si>
  <si>
    <t>Gofood</t>
  </si>
  <si>
    <t>FKG</t>
  </si>
  <si>
    <t>Bikin Sendiri</t>
  </si>
  <si>
    <t>Belanja Mingguan</t>
  </si>
  <si>
    <t>Detail Transaksi</t>
  </si>
  <si>
    <t>Pengeluaran</t>
  </si>
  <si>
    <t>Makanan Pokok</t>
  </si>
  <si>
    <t>Pembayaran</t>
  </si>
  <si>
    <t>Kebutuhan Lain</t>
  </si>
  <si>
    <t>Uang Digital</t>
  </si>
  <si>
    <t>Uang tunai</t>
  </si>
  <si>
    <t>Panel Kontrol</t>
  </si>
  <si>
    <t>Tanggal Awal</t>
  </si>
  <si>
    <t>Tanggal Akhir</t>
  </si>
  <si>
    <t>Pengeluaran per Minggu</t>
  </si>
  <si>
    <t>Minggu 1</t>
  </si>
  <si>
    <t>Digital</t>
  </si>
  <si>
    <t>Minggu 2</t>
  </si>
  <si>
    <t>Tunai</t>
  </si>
  <si>
    <t>Minggu 3</t>
  </si>
  <si>
    <t>Minggu 4</t>
  </si>
  <si>
    <t>Sisa Hari</t>
  </si>
  <si>
    <t>Minggu 5</t>
  </si>
  <si>
    <t>Progress Bar Budget</t>
  </si>
  <si>
    <t>Alokasi Budget</t>
  </si>
  <si>
    <t>Kebutuhan</t>
  </si>
  <si>
    <t>Uang Bulanan</t>
  </si>
  <si>
    <t>Ortu</t>
  </si>
  <si>
    <t>Beasiswa</t>
  </si>
  <si>
    <t>Gaji</t>
  </si>
  <si>
    <t>Selamat Datang di Template Keuangan Excel</t>
  </si>
  <si>
    <t>Template ini bertujuan untuk melacak pengeluaran dan pemasukan yang dilakukan</t>
  </si>
  <si>
    <t>Selamat Menggunakan</t>
  </si>
  <si>
    <t>Pendukung</t>
  </si>
  <si>
    <t>Pendapatan</t>
  </si>
  <si>
    <t>Sheet 'Detail Transaksi' berisi semua transaksi secara detail, mulai dari uang digital dan uang tunai, pengeluaran per minggu, beberapa grafik, dll</t>
  </si>
  <si>
    <t>Sheet 'Pengeluaran' menangani semua pengeluaran yang dilakukan. Pengeluaran diagi menjadi dua kelompok, Makanan Pokok dan Kebutuhan Lain dan juga pembayaran dipisah antara uang digital dan uang tunai</t>
  </si>
  <si>
    <t>Sheet 'Pendapatan menangani semua pendapatan yang diterima. Pendapatan tidak memiliki kelompok dan dibagi antara pendapatan tunai dan digital</t>
  </si>
  <si>
    <t>Sheet 'Pendukung' memberikan dukungan berupa relasi antara Kolom Kategori dan Detail yang terdapat pada sheet Pengeluaran dan Pendapatan serta menyimpan ukuran baris dan kolom masing-masing sheet</t>
  </si>
  <si>
    <t>Beli</t>
  </si>
  <si>
    <t>Galon</t>
  </si>
  <si>
    <t>Bensin</t>
  </si>
  <si>
    <t>Pemeliharaan</t>
  </si>
  <si>
    <t>Cuci Motor</t>
  </si>
  <si>
    <t>Sahur</t>
  </si>
  <si>
    <t>Buka Puasa</t>
  </si>
  <si>
    <t>Sisa</t>
  </si>
  <si>
    <t>Transisi</t>
  </si>
  <si>
    <t>Bulan Lalu</t>
  </si>
  <si>
    <t>Tarik Tunai</t>
  </si>
  <si>
    <t>Bank</t>
  </si>
  <si>
    <t>Jalan Kaki</t>
  </si>
  <si>
    <t>Lari</t>
  </si>
  <si>
    <t>Sepeda</t>
  </si>
  <si>
    <t>CTF</t>
  </si>
  <si>
    <t>Admin</t>
  </si>
  <si>
    <t>Makanan</t>
  </si>
  <si>
    <t>Jajan dan Keinginan Lainnya</t>
  </si>
  <si>
    <t>Warna Kategori</t>
  </si>
  <si>
    <t>Warna Detail</t>
  </si>
  <si>
    <t>Event dan Lomba</t>
  </si>
  <si>
    <t>Nasi Uduk</t>
  </si>
  <si>
    <t>Kwetiauw Goreng</t>
  </si>
  <si>
    <t>Topup Pulsa</t>
  </si>
  <si>
    <t>Kebutuhan Diri</t>
  </si>
  <si>
    <t>Minuman Manis</t>
  </si>
  <si>
    <t>Es Krim</t>
  </si>
  <si>
    <t>Saldo Awal</t>
  </si>
  <si>
    <t>Saldo Akhir</t>
  </si>
  <si>
    <t>Tanggal Akhir Bulan</t>
  </si>
  <si>
    <t>Sisa Bulan Lalu</t>
  </si>
  <si>
    <t>Sate</t>
  </si>
  <si>
    <t>makanan digital</t>
  </si>
  <si>
    <t>kebutuhan digital</t>
  </si>
  <si>
    <t>sisa uang digital</t>
  </si>
  <si>
    <t>minggu 1</t>
  </si>
  <si>
    <t>minggu 2</t>
  </si>
  <si>
    <t>minggu 3</t>
  </si>
  <si>
    <t>minggu 4</t>
  </si>
  <si>
    <t>minggu 5</t>
  </si>
  <si>
    <t>sisa uang digital + tunai</t>
  </si>
  <si>
    <t>makanan tunai</t>
  </si>
  <si>
    <t>kebutuhan tunai</t>
  </si>
  <si>
    <t>sisa uang tunai</t>
  </si>
  <si>
    <t>persentase digital</t>
  </si>
  <si>
    <t>nominal digital</t>
  </si>
  <si>
    <t>persentase tunai</t>
  </si>
  <si>
    <t>nominal tunai</t>
  </si>
  <si>
    <t>persentase per minggu</t>
  </si>
  <si>
    <t>Nama Warna</t>
  </si>
  <si>
    <t>Oranye</t>
  </si>
  <si>
    <t>Merah Jingga</t>
  </si>
  <si>
    <t>Cokelat</t>
  </si>
  <si>
    <t>Emas</t>
  </si>
  <si>
    <t>Merah Marun</t>
  </si>
  <si>
    <t>#D35400</t>
  </si>
  <si>
    <t>#F5B041</t>
  </si>
  <si>
    <t>#BA4A00</t>
  </si>
  <si>
    <t>#EDBB99</t>
  </si>
  <si>
    <t>#873600</t>
  </si>
  <si>
    <t>#D68910</t>
  </si>
  <si>
    <t>#B7950B</t>
  </si>
  <si>
    <t>#F7DC6F</t>
  </si>
  <si>
    <t>#943126</t>
  </si>
  <si>
    <t>#E6B0AA</t>
  </si>
  <si>
    <t>Merah</t>
  </si>
  <si>
    <t>Biru</t>
  </si>
  <si>
    <t>Hijau</t>
  </si>
  <si>
    <t>#C0392B</t>
  </si>
  <si>
    <t>#F5B7B1</t>
  </si>
  <si>
    <t>#2471A3</t>
  </si>
  <si>
    <t>#AED6F1</t>
  </si>
  <si>
    <t>#229954</t>
  </si>
  <si>
    <t>#A9DFBF</t>
  </si>
  <si>
    <t>Ungu</t>
  </si>
  <si>
    <t>Hijau Tokped</t>
  </si>
  <si>
    <t>#7D3C98</t>
  </si>
  <si>
    <t>#D7BDE2</t>
  </si>
  <si>
    <t>#03AC0E</t>
  </si>
  <si>
    <t>#ABEBC6</t>
  </si>
  <si>
    <t>Hijau Gojek</t>
  </si>
  <si>
    <t>Biru Bluebird</t>
  </si>
  <si>
    <t>#00880C</t>
  </si>
  <si>
    <t>#2980B9</t>
  </si>
  <si>
    <t>#A9CCE3</t>
  </si>
  <si>
    <t>Merah Telkom</t>
  </si>
  <si>
    <t>#566573</t>
  </si>
  <si>
    <t>#CACFD2</t>
  </si>
  <si>
    <t>#E74C3C</t>
  </si>
  <si>
    <t>#F1948A</t>
  </si>
  <si>
    <t>Abu-abu Tua</t>
  </si>
  <si>
    <t>Abu-abu Arang</t>
  </si>
  <si>
    <t>#2C3E50</t>
  </si>
  <si>
    <t>#AEB6BF</t>
  </si>
  <si>
    <t>Hijau Zamrud</t>
  </si>
  <si>
    <t>Hijau Hutan</t>
  </si>
  <si>
    <t>Teal</t>
  </si>
  <si>
    <t>#1E8449</t>
  </si>
  <si>
    <t>#A2D9CE</t>
  </si>
  <si>
    <t>#196F3D</t>
  </si>
  <si>
    <t>#D5F5E3</t>
  </si>
  <si>
    <t>#0E6655</t>
  </si>
  <si>
    <t>#85C1E9</t>
  </si>
  <si>
    <t>Biru Dongker</t>
  </si>
  <si>
    <t>#1A5276</t>
  </si>
  <si>
    <t>Cokelat Abu</t>
  </si>
  <si>
    <t>#797D7F</t>
  </si>
  <si>
    <t>#F4F6F7</t>
  </si>
  <si>
    <t>Magenta</t>
  </si>
  <si>
    <t>#9B59B6</t>
  </si>
  <si>
    <t>#EBDEF0</t>
  </si>
  <si>
    <t>Fried Chicken</t>
  </si>
  <si>
    <t>Keripik</t>
  </si>
  <si>
    <t>Biskuit</t>
  </si>
  <si>
    <t>Deposit</t>
  </si>
  <si>
    <t>Nama Sheet</t>
  </si>
  <si>
    <t>Nama Kolom</t>
  </si>
  <si>
    <t>Ukuran Tinggi</t>
  </si>
  <si>
    <t>Ukuran Lebar</t>
  </si>
  <si>
    <t>Dashboard</t>
  </si>
  <si>
    <t>Batas</t>
  </si>
  <si>
    <t>Selain Batas</t>
  </si>
  <si>
    <t>Pengeluaran Uang Digital Hari Ini</t>
  </si>
  <si>
    <t>Pengeluaran Uang Tunai Hari Ini</t>
  </si>
  <si>
    <t>Jajan</t>
  </si>
  <si>
    <t>jajan digital</t>
  </si>
  <si>
    <t>jajan tunai</t>
  </si>
  <si>
    <t>Makan_Siang</t>
  </si>
  <si>
    <t>Makan_Malam</t>
  </si>
  <si>
    <t>Buka_Puasa</t>
  </si>
  <si>
    <t>Jumlah</t>
  </si>
  <si>
    <t>N_A</t>
  </si>
  <si>
    <t>Roti</t>
  </si>
  <si>
    <t>Rekomendasi Pengeluaran per Hari</t>
  </si>
  <si>
    <t>Pengeluaran Total Hari Ini</t>
  </si>
  <si>
    <t>Kalender</t>
  </si>
  <si>
    <t>Senin</t>
  </si>
  <si>
    <t>Selasa</t>
  </si>
  <si>
    <t>Rabu</t>
  </si>
  <si>
    <t>Kamis</t>
  </si>
  <si>
    <t>Jumat</t>
  </si>
  <si>
    <t>Sabtu</t>
  </si>
  <si>
    <t>Minggu</t>
  </si>
  <si>
    <t>Hasil</t>
  </si>
  <si>
    <t>Tabungan Awal</t>
  </si>
  <si>
    <t>Tabungan Akhir</t>
  </si>
  <si>
    <t>Perubahan</t>
  </si>
  <si>
    <t>Pemasukan</t>
  </si>
  <si>
    <t>Persentase Perubahan</t>
  </si>
  <si>
    <t>Persentase Arus Kas</t>
  </si>
  <si>
    <t>Topup Gopay</t>
  </si>
  <si>
    <t>Bayar Argo</t>
  </si>
  <si>
    <t>Kalkulasi</t>
  </si>
  <si>
    <t>Semua Sel</t>
  </si>
  <si>
    <t>saldo awal digital</t>
  </si>
  <si>
    <t>saldo akhir digital</t>
  </si>
  <si>
    <t>sisa uang bulan lalu digital</t>
  </si>
  <si>
    <t>saldo awal tunai</t>
  </si>
  <si>
    <t>saldo akhir tunai</t>
  </si>
  <si>
    <t>sisa uang bulan lalu tunai</t>
  </si>
  <si>
    <t>pengeluaran minggu 1</t>
  </si>
  <si>
    <t>pengeluaran minggu 2</t>
  </si>
  <si>
    <t>pengeluaran minggu 3</t>
  </si>
  <si>
    <t>pengeluaran minggu 4</t>
  </si>
  <si>
    <t>pengeluaran minggu 5</t>
  </si>
  <si>
    <t>sisa hari</t>
  </si>
  <si>
    <t>rekomendasi pengeluaran</t>
  </si>
  <si>
    <t>pengeluaran digital hari ini</t>
  </si>
  <si>
    <t>pengeluaran tunai hari ini</t>
  </si>
  <si>
    <t>pengeluaran total hari ini</t>
  </si>
  <si>
    <t xml:space="preserve">persen/nominal digital </t>
  </si>
  <si>
    <t>persen/nominal tunai</t>
  </si>
  <si>
    <t>sisa total uang</t>
  </si>
  <si>
    <t>progress bar makanan</t>
  </si>
  <si>
    <t>progress bar kebutuhan</t>
  </si>
  <si>
    <t>progress bar jajan</t>
  </si>
  <si>
    <t>alokasi makanan</t>
  </si>
  <si>
    <t>alokasi kebutuhan</t>
  </si>
  <si>
    <t>alokasi jajan</t>
  </si>
  <si>
    <t>detail transaksi</t>
  </si>
  <si>
    <t>pengeluaran</t>
  </si>
  <si>
    <t>total makanan dan jajan</t>
  </si>
  <si>
    <t>total kebutuhan</t>
  </si>
  <si>
    <t>total pendapatan</t>
  </si>
  <si>
    <t>pendapatan</t>
  </si>
  <si>
    <t>akhir bulan</t>
  </si>
  <si>
    <t>heatmap</t>
  </si>
  <si>
    <t>tabungan awal</t>
  </si>
  <si>
    <t>tabungan akhir</t>
  </si>
  <si>
    <t>perubahan</t>
  </si>
  <si>
    <t>persentase perubahan</t>
  </si>
  <si>
    <t>hasil tabungan</t>
  </si>
  <si>
    <t>pemasukan</t>
  </si>
  <si>
    <t>sisa uang (arus kas bersih)</t>
  </si>
  <si>
    <t>persentase arus kas</t>
  </si>
  <si>
    <t>hasil arus kas</t>
  </si>
  <si>
    <t>warteg</t>
  </si>
  <si>
    <t>bikin sendiri</t>
  </si>
  <si>
    <t xml:space="preserve">nasi kuning </t>
  </si>
  <si>
    <t>nasi uduk</t>
  </si>
  <si>
    <t>gofood</t>
  </si>
  <si>
    <t>fkg</t>
  </si>
  <si>
    <t>balsan</t>
  </si>
  <si>
    <t>burger bangor</t>
  </si>
  <si>
    <t>fried chicken</t>
  </si>
  <si>
    <t>keripik/snack</t>
  </si>
  <si>
    <t>minuman manis</t>
  </si>
  <si>
    <t>es krim</t>
  </si>
  <si>
    <t>biskuit</t>
  </si>
  <si>
    <t>cokelat</t>
  </si>
  <si>
    <t>roti</t>
  </si>
  <si>
    <t>sarapan</t>
  </si>
  <si>
    <t>makan siang</t>
  </si>
  <si>
    <t>makan malam</t>
  </si>
  <si>
    <t>jajan</t>
  </si>
  <si>
    <t>kebutuhan dapur</t>
  </si>
  <si>
    <t>kebutuhan kos</t>
  </si>
  <si>
    <t>kebutuhan diri</t>
  </si>
  <si>
    <t>kebutuhan mandi</t>
  </si>
  <si>
    <t>belanja mingguan</t>
  </si>
  <si>
    <t>cuci motor</t>
  </si>
  <si>
    <t>laundry</t>
  </si>
  <si>
    <t>topup pulsa</t>
  </si>
  <si>
    <t>topup gopay</t>
  </si>
  <si>
    <t>bayar argo</t>
  </si>
  <si>
    <t>galon</t>
  </si>
  <si>
    <t>bensin</t>
  </si>
  <si>
    <t>admin</t>
  </si>
  <si>
    <t>ctf</t>
  </si>
  <si>
    <t>jalan kaki</t>
  </si>
  <si>
    <t>lari</t>
  </si>
  <si>
    <t>sepeda</t>
  </si>
  <si>
    <t>kebutuhan</t>
  </si>
  <si>
    <t>sahur</t>
  </si>
  <si>
    <t>buka puasa</t>
  </si>
  <si>
    <t>sate</t>
  </si>
  <si>
    <t>beli</t>
  </si>
  <si>
    <t>Tabungan</t>
  </si>
  <si>
    <t>Infaq</t>
  </si>
  <si>
    <t>infaq</t>
  </si>
  <si>
    <t>nasi goreng</t>
  </si>
  <si>
    <t>kwetiauw goreng</t>
  </si>
  <si>
    <t>Sisa Uang
(Arus Kas Bersih)</t>
  </si>
  <si>
    <t>Akhir Bulan</t>
  </si>
  <si>
    <t>Bulan November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</si>
</sst>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p&quot;* #,##0.00_-;\-&quot;Rp&quot;* #,##0.00_-;_-&quot;Rp&quot;* &quot;-&quot;??_-;_-@_-"/>
    <numFmt numFmtId="164" formatCode="_-[$Rp-3809]* #,##0.00_-;\-[$Rp-3809]* #,##0.00_-;_-[$Rp-3809]* &quot;-&quot;??_-;_-@_-"/>
    <numFmt numFmtId="165" formatCode="d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9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23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12" borderId="0" xfId="0" applyFill="1"/>
    <xf numFmtId="0" fontId="0" fillId="12" borderId="0" xfId="0" quotePrefix="1" applyFill="1"/>
    <xf numFmtId="0" fontId="0" fillId="12" borderId="0" xfId="0" applyFill="1" applyAlignment="1">
      <alignment vertical="center"/>
    </xf>
    <xf numFmtId="0" fontId="0" fillId="12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0" fontId="0" fillId="0" borderId="8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0" borderId="10" xfId="0" applyBorder="1" applyAlignment="1">
      <alignment horizontal="center"/>
    </xf>
    <xf numFmtId="44" fontId="0" fillId="0" borderId="1" xfId="1" applyFont="1" applyBorder="1" applyAlignment="1">
      <alignment horizontal="center"/>
    </xf>
    <xf numFmtId="44" fontId="0" fillId="0" borderId="1" xfId="0" applyNumberFormat="1" applyBorder="1" applyAlignment="1">
      <alignment horizontal="center"/>
    </xf>
    <xf numFmtId="9" fontId="0" fillId="0" borderId="1" xfId="3" applyFont="1" applyBorder="1" applyAlignment="1">
      <alignment horizontal="center"/>
    </xf>
    <xf numFmtId="164" fontId="0" fillId="0" borderId="0" xfId="0" applyNumberFormat="1" applyAlignment="1">
      <alignment horizontal="center"/>
    </xf>
    <xf numFmtId="44" fontId="0" fillId="0" borderId="1" xfId="1" applyFont="1" applyBorder="1"/>
    <xf numFmtId="0" fontId="0" fillId="8" borderId="5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6" xfId="0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8" borderId="9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7" xfId="0" applyFill="1" applyBorder="1" applyAlignment="1">
      <alignment horizontal="center" vertical="center" wrapText="1"/>
    </xf>
    <xf numFmtId="0" fontId="0" fillId="9" borderId="5" xfId="0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9" borderId="6" xfId="0" applyFill="1" applyBorder="1" applyAlignment="1">
      <alignment horizontal="center" vertical="center" wrapText="1"/>
    </xf>
    <xf numFmtId="0" fontId="0" fillId="9" borderId="8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9" xfId="0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0" fillId="9" borderId="7" xfId="0" applyFill="1" applyBorder="1" applyAlignment="1">
      <alignment horizontal="center" vertical="center" wrapText="1"/>
    </xf>
    <xf numFmtId="0" fontId="0" fillId="10" borderId="5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0" borderId="6" xfId="0" applyFill="1" applyBorder="1" applyAlignment="1">
      <alignment horizontal="center" vertical="center" wrapText="1"/>
    </xf>
    <xf numFmtId="0" fontId="0" fillId="10" borderId="8" xfId="0" applyFill="1" applyBorder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0" fontId="0" fillId="10" borderId="9" xfId="0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0" fontId="0" fillId="10" borderId="7" xfId="0" applyFill="1" applyBorder="1" applyAlignment="1">
      <alignment horizontal="center" vertical="center" wrapText="1"/>
    </xf>
    <xf numFmtId="0" fontId="0" fillId="11" borderId="5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11" borderId="6" xfId="0" applyFill="1" applyBorder="1" applyAlignment="1">
      <alignment horizontal="center" vertical="center" wrapText="1"/>
    </xf>
    <xf numFmtId="0" fontId="0" fillId="11" borderId="8" xfId="0" applyFill="1" applyBorder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0" fillId="11" borderId="9" xfId="0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1" borderId="7" xfId="0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4" borderId="5" xfId="2" applyFont="1" applyFill="1" applyBorder="1" applyAlignment="1">
      <alignment horizontal="center" vertical="center"/>
    </xf>
    <xf numFmtId="0" fontId="7" fillId="4" borderId="2" xfId="2" applyFont="1" applyFill="1" applyBorder="1" applyAlignment="1">
      <alignment horizontal="center" vertical="center"/>
    </xf>
    <xf numFmtId="0" fontId="7" fillId="4" borderId="6" xfId="2" applyFont="1" applyFill="1" applyBorder="1" applyAlignment="1">
      <alignment horizontal="center" vertical="center"/>
    </xf>
    <xf numFmtId="0" fontId="7" fillId="4" borderId="8" xfId="2" applyFont="1" applyFill="1" applyBorder="1" applyAlignment="1">
      <alignment horizontal="center" vertical="center"/>
    </xf>
    <xf numFmtId="0" fontId="7" fillId="4" borderId="0" xfId="2" applyFont="1" applyFill="1" applyBorder="1" applyAlignment="1">
      <alignment horizontal="center" vertical="center"/>
    </xf>
    <xf numFmtId="0" fontId="7" fillId="4" borderId="9" xfId="2" applyFont="1" applyFill="1" applyBorder="1" applyAlignment="1">
      <alignment horizontal="center" vertical="center"/>
    </xf>
    <xf numFmtId="0" fontId="7" fillId="4" borderId="3" xfId="2" applyFont="1" applyFill="1" applyBorder="1" applyAlignment="1">
      <alignment horizontal="center" vertical="center"/>
    </xf>
    <xf numFmtId="0" fontId="7" fillId="4" borderId="4" xfId="2" applyFont="1" applyFill="1" applyBorder="1" applyAlignment="1">
      <alignment horizontal="center" vertical="center"/>
    </xf>
    <xf numFmtId="0" fontId="7" fillId="4" borderId="7" xfId="2" applyFont="1" applyFill="1" applyBorder="1" applyAlignment="1">
      <alignment horizontal="center" vertical="center"/>
    </xf>
    <xf numFmtId="0" fontId="7" fillId="5" borderId="5" xfId="2" applyFont="1" applyFill="1" applyBorder="1" applyAlignment="1">
      <alignment horizontal="center" vertical="center"/>
    </xf>
    <xf numFmtId="0" fontId="7" fillId="5" borderId="2" xfId="2" applyFont="1" applyFill="1" applyBorder="1" applyAlignment="1">
      <alignment horizontal="center" vertical="center"/>
    </xf>
    <xf numFmtId="0" fontId="7" fillId="5" borderId="6" xfId="2" applyFont="1" applyFill="1" applyBorder="1" applyAlignment="1">
      <alignment horizontal="center" vertical="center"/>
    </xf>
    <xf numFmtId="0" fontId="7" fillId="5" borderId="8" xfId="2" applyFont="1" applyFill="1" applyBorder="1" applyAlignment="1">
      <alignment horizontal="center" vertical="center"/>
    </xf>
    <xf numFmtId="0" fontId="7" fillId="5" borderId="0" xfId="2" applyFont="1" applyFill="1" applyBorder="1" applyAlignment="1">
      <alignment horizontal="center" vertical="center"/>
    </xf>
    <xf numFmtId="0" fontId="7" fillId="5" borderId="9" xfId="2" applyFont="1" applyFill="1" applyBorder="1" applyAlignment="1">
      <alignment horizontal="center" vertical="center"/>
    </xf>
    <xf numFmtId="0" fontId="7" fillId="5" borderId="3" xfId="2" applyFont="1" applyFill="1" applyBorder="1" applyAlignment="1">
      <alignment horizontal="center" vertical="center"/>
    </xf>
    <xf numFmtId="0" fontId="7" fillId="5" borderId="4" xfId="2" applyFont="1" applyFill="1" applyBorder="1" applyAlignment="1">
      <alignment horizontal="center" vertical="center"/>
    </xf>
    <xf numFmtId="0" fontId="7" fillId="5" borderId="7" xfId="2" applyFont="1" applyFill="1" applyBorder="1" applyAlignment="1">
      <alignment horizontal="center" vertical="center"/>
    </xf>
    <xf numFmtId="0" fontId="7" fillId="6" borderId="5" xfId="2" applyFont="1" applyFill="1" applyBorder="1" applyAlignment="1">
      <alignment horizontal="center" vertical="center"/>
    </xf>
    <xf numFmtId="0" fontId="7" fillId="6" borderId="2" xfId="2" applyFont="1" applyFill="1" applyBorder="1" applyAlignment="1">
      <alignment horizontal="center" vertical="center"/>
    </xf>
    <xf numFmtId="0" fontId="7" fillId="6" borderId="6" xfId="2" applyFont="1" applyFill="1" applyBorder="1" applyAlignment="1">
      <alignment horizontal="center" vertical="center"/>
    </xf>
    <xf numFmtId="0" fontId="7" fillId="6" borderId="8" xfId="2" applyFont="1" applyFill="1" applyBorder="1" applyAlignment="1">
      <alignment horizontal="center" vertical="center"/>
    </xf>
    <xf numFmtId="0" fontId="7" fillId="6" borderId="0" xfId="2" applyFont="1" applyFill="1" applyBorder="1" applyAlignment="1">
      <alignment horizontal="center" vertical="center"/>
    </xf>
    <xf numFmtId="0" fontId="7" fillId="6" borderId="9" xfId="2" applyFont="1" applyFill="1" applyBorder="1" applyAlignment="1">
      <alignment horizontal="center" vertical="center"/>
    </xf>
    <xf numFmtId="0" fontId="7" fillId="6" borderId="3" xfId="2" applyFont="1" applyFill="1" applyBorder="1" applyAlignment="1">
      <alignment horizontal="center" vertical="center"/>
    </xf>
    <xf numFmtId="0" fontId="7" fillId="6" borderId="4" xfId="2" applyFont="1" applyFill="1" applyBorder="1" applyAlignment="1">
      <alignment horizontal="center" vertical="center"/>
    </xf>
    <xf numFmtId="0" fontId="7" fillId="6" borderId="7" xfId="2" applyFont="1" applyFill="1" applyBorder="1" applyAlignment="1">
      <alignment horizontal="center" vertical="center"/>
    </xf>
    <xf numFmtId="0" fontId="7" fillId="7" borderId="5" xfId="2" applyFont="1" applyFill="1" applyBorder="1" applyAlignment="1">
      <alignment horizontal="center" vertical="center"/>
    </xf>
    <xf numFmtId="0" fontId="7" fillId="7" borderId="2" xfId="2" applyFont="1" applyFill="1" applyBorder="1" applyAlignment="1">
      <alignment horizontal="center" vertical="center"/>
    </xf>
    <xf numFmtId="0" fontId="7" fillId="7" borderId="6" xfId="2" applyFont="1" applyFill="1" applyBorder="1" applyAlignment="1">
      <alignment horizontal="center" vertical="center"/>
    </xf>
    <xf numFmtId="0" fontId="7" fillId="7" borderId="8" xfId="2" applyFont="1" applyFill="1" applyBorder="1" applyAlignment="1">
      <alignment horizontal="center" vertical="center"/>
    </xf>
    <xf numFmtId="0" fontId="7" fillId="7" borderId="0" xfId="2" applyFont="1" applyFill="1" applyBorder="1" applyAlignment="1">
      <alignment horizontal="center" vertical="center"/>
    </xf>
    <xf numFmtId="0" fontId="7" fillId="7" borderId="9" xfId="2" applyFont="1" applyFill="1" applyBorder="1" applyAlignment="1">
      <alignment horizontal="center" vertical="center"/>
    </xf>
    <xf numFmtId="0" fontId="7" fillId="7" borderId="3" xfId="2" applyFont="1" applyFill="1" applyBorder="1" applyAlignment="1">
      <alignment horizontal="center" vertical="center"/>
    </xf>
    <xf numFmtId="0" fontId="7" fillId="7" borderId="4" xfId="2" applyFont="1" applyFill="1" applyBorder="1" applyAlignment="1">
      <alignment horizontal="center" vertical="center"/>
    </xf>
    <xf numFmtId="0" fontId="7" fillId="7" borderId="7" xfId="2" applyFont="1" applyFill="1" applyBorder="1" applyAlignment="1">
      <alignment horizontal="center" vertical="center"/>
    </xf>
    <xf numFmtId="164" fontId="0" fillId="12" borderId="0" xfId="0" applyNumberFormat="1" applyFill="1" applyAlignment="1">
      <alignment horizontal="center"/>
    </xf>
    <xf numFmtId="0" fontId="0" fillId="12" borderId="0" xfId="0" applyFill="1" applyAlignment="1">
      <alignment horizontal="center"/>
    </xf>
    <xf numFmtId="9" fontId="7" fillId="3" borderId="5" xfId="0" applyNumberFormat="1" applyFont="1" applyFill="1" applyBorder="1" applyAlignment="1">
      <alignment horizontal="center" vertical="center"/>
    </xf>
    <xf numFmtId="9" fontId="7" fillId="3" borderId="6" xfId="0" applyNumberFormat="1" applyFont="1" applyFill="1" applyBorder="1" applyAlignment="1">
      <alignment horizontal="center" vertical="center"/>
    </xf>
    <xf numFmtId="9" fontId="7" fillId="3" borderId="3" xfId="0" applyNumberFormat="1" applyFont="1" applyFill="1" applyBorder="1" applyAlignment="1">
      <alignment horizontal="center" vertical="center"/>
    </xf>
    <xf numFmtId="9" fontId="7" fillId="3" borderId="7" xfId="0" applyNumberFormat="1" applyFont="1" applyFill="1" applyBorder="1" applyAlignment="1">
      <alignment horizontal="center" vertical="center"/>
    </xf>
    <xf numFmtId="164" fontId="8" fillId="0" borderId="5" xfId="0" applyNumberFormat="1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164" fontId="8" fillId="0" borderId="6" xfId="0" applyNumberFormat="1" applyFont="1" applyBorder="1" applyAlignment="1">
      <alignment horizontal="center" vertical="center"/>
    </xf>
    <xf numFmtId="164" fontId="8" fillId="0" borderId="3" xfId="0" applyNumberFormat="1" applyFont="1" applyBorder="1" applyAlignment="1">
      <alignment horizontal="center" vertical="center"/>
    </xf>
    <xf numFmtId="164" fontId="8" fillId="0" borderId="4" xfId="0" applyNumberFormat="1" applyFont="1" applyBorder="1" applyAlignment="1">
      <alignment horizontal="center" vertical="center"/>
    </xf>
    <xf numFmtId="164" fontId="8" fillId="0" borderId="7" xfId="0" applyNumberFormat="1" applyFont="1" applyBorder="1" applyAlignment="1">
      <alignment horizontal="center" vertical="center"/>
    </xf>
    <xf numFmtId="164" fontId="8" fillId="12" borderId="5" xfId="0" applyNumberFormat="1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0" fontId="8" fillId="12" borderId="7" xfId="0" applyFont="1" applyFill="1" applyBorder="1" applyAlignment="1">
      <alignment horizontal="center" vertical="center"/>
    </xf>
    <xf numFmtId="14" fontId="6" fillId="0" borderId="10" xfId="0" applyNumberFormat="1" applyFont="1" applyBorder="1" applyAlignment="1">
      <alignment horizontal="center" vertical="center"/>
    </xf>
    <xf numFmtId="14" fontId="6" fillId="0" borderId="11" xfId="0" applyNumberFormat="1" applyFont="1" applyBorder="1" applyAlignment="1">
      <alignment horizontal="center" vertical="center"/>
    </xf>
    <xf numFmtId="14" fontId="6" fillId="0" borderId="12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4" fillId="12" borderId="0" xfId="0" applyFont="1" applyFill="1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8" fillId="0" borderId="5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8" fillId="0" borderId="1" xfId="0" applyNumberFormat="1" applyFont="1" applyBorder="1" applyAlignment="1">
      <alignment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164" fontId="0" fillId="12" borderId="0" xfId="1" applyNumberFormat="1" applyFont="1" applyFill="1" applyAlignment="1">
      <alignment horizontal="center"/>
    </xf>
    <xf numFmtId="164" fontId="8" fillId="1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/>
    </xf>
    <xf numFmtId="164" fontId="6" fillId="0" borderId="15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164" fontId="0" fillId="0" borderId="13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64" fontId="8" fillId="0" borderId="1" xfId="1" applyNumberFormat="1" applyFont="1" applyBorder="1" applyAlignment="1">
      <alignment horizontal="center" vertical="center"/>
    </xf>
    <xf numFmtId="10" fontId="8" fillId="0" borderId="1" xfId="1" applyNumberFormat="1" applyFont="1" applyBorder="1" applyAlignment="1">
      <alignment horizontal="center" vertical="center"/>
    </xf>
    <xf numFmtId="44" fontId="8" fillId="0" borderId="1" xfId="1" applyFont="1" applyBorder="1" applyAlignment="1">
      <alignment horizontal="center" vertical="center"/>
    </xf>
    <xf numFmtId="10" fontId="8" fillId="0" borderId="1" xfId="3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11" fillId="3" borderId="13" xfId="0" applyFont="1" applyFill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2" borderId="13" xfId="0" applyFill="1" applyBorder="1" applyAlignment="1">
      <alignment horizontal="center"/>
    </xf>
  </cellXfs>
  <cellStyles count="4">
    <cellStyle name="Currency" xfId="1" builtinId="4"/>
    <cellStyle name="Hyperlink" xfId="2" builtinId="8"/>
    <cellStyle name="Normal" xfId="0" builtinId="0"/>
    <cellStyle name="Percent" xfId="3" builtinId="5"/>
  </cellStyles>
  <dxfs count="95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8F8F8"/>
        </patternFill>
      </fill>
    </dxf>
    <dxf>
      <fill>
        <patternFill>
          <bgColor rgb="FFA2D9CE"/>
        </patternFill>
      </fill>
    </dxf>
    <dxf>
      <fill>
        <patternFill>
          <bgColor rgb="FFA2D9CE"/>
        </patternFill>
      </fill>
    </dxf>
    <dxf>
      <fill>
        <patternFill>
          <bgColor rgb="FFA2D9CE"/>
        </patternFill>
      </fill>
    </dxf>
    <dxf>
      <fill>
        <patternFill>
          <bgColor rgb="FFD5F5E3"/>
        </patternFill>
      </fill>
    </dxf>
    <dxf>
      <fill>
        <patternFill>
          <bgColor rgb="FF85C1E9"/>
        </patternFill>
      </fill>
    </dxf>
    <dxf>
      <fill>
        <patternFill>
          <bgColor rgb="FF85C1E9"/>
        </patternFill>
      </fill>
    </dxf>
    <dxf>
      <fill>
        <patternFill>
          <bgColor rgb="FFF4F6F7"/>
        </patternFill>
      </fill>
    </dxf>
    <dxf>
      <fill>
        <patternFill>
          <bgColor rgb="FFAEB6BF"/>
        </patternFill>
      </fill>
    </dxf>
    <dxf>
      <fill>
        <patternFill>
          <bgColor rgb="FFAEB6BF"/>
        </patternFill>
      </fill>
    </dxf>
    <dxf>
      <fill>
        <patternFill>
          <bgColor rgb="FF1E8449"/>
        </patternFill>
      </fill>
    </dxf>
    <dxf>
      <fill>
        <patternFill>
          <bgColor rgb="FF196F3D"/>
        </patternFill>
      </fill>
    </dxf>
    <dxf>
      <fill>
        <patternFill>
          <bgColor rgb="FF0E6655"/>
        </patternFill>
      </fill>
    </dxf>
    <dxf>
      <fill>
        <patternFill>
          <bgColor rgb="FF797D7F"/>
        </patternFill>
      </fill>
    </dxf>
    <dxf>
      <fill>
        <patternFill>
          <bgColor rgb="FF2C3E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8F8F8"/>
        </patternFill>
      </fill>
    </dxf>
    <dxf>
      <fill>
        <patternFill>
          <bgColor rgb="FFF4F6F7"/>
        </patternFill>
      </fill>
    </dxf>
    <dxf>
      <fill>
        <patternFill>
          <bgColor rgb="FFAED6F1"/>
        </patternFill>
      </fill>
    </dxf>
    <dxf>
      <fill>
        <patternFill>
          <bgColor rgb="FFAED6F1"/>
        </patternFill>
      </fill>
    </dxf>
    <dxf>
      <fill>
        <patternFill>
          <bgColor rgb="FFAED6F1"/>
        </patternFill>
      </fill>
    </dxf>
    <dxf>
      <fill>
        <patternFill>
          <bgColor rgb="FFAED6F1"/>
        </patternFill>
      </fill>
    </dxf>
    <dxf>
      <fill>
        <patternFill>
          <bgColor rgb="FFF5B7B1"/>
        </patternFill>
      </fill>
    </dxf>
    <dxf>
      <fill>
        <patternFill>
          <bgColor rgb="FFF5B7B1"/>
        </patternFill>
      </fill>
    </dxf>
    <dxf>
      <fill>
        <patternFill>
          <bgColor rgb="FFF5B7B1"/>
        </patternFill>
      </fill>
    </dxf>
    <dxf>
      <fill>
        <patternFill>
          <bgColor rgb="FFF5B7B1"/>
        </patternFill>
      </fill>
    </dxf>
    <dxf>
      <fill>
        <patternFill>
          <bgColor rgb="FFA9DFBF"/>
        </patternFill>
      </fill>
    </dxf>
    <dxf>
      <fill>
        <patternFill>
          <bgColor rgb="FFCACFD2"/>
        </patternFill>
      </fill>
    </dxf>
    <dxf>
      <fill>
        <patternFill>
          <bgColor rgb="FFCACFD2"/>
        </patternFill>
      </fill>
    </dxf>
    <dxf>
      <fill>
        <patternFill>
          <bgColor rgb="FFF1948A"/>
        </patternFill>
      </fill>
    </dxf>
    <dxf>
      <fill>
        <patternFill>
          <bgColor rgb="FF2980B9"/>
        </patternFill>
      </fill>
    </dxf>
    <dxf>
      <fill>
        <patternFill>
          <bgColor rgb="FFA9CCE3"/>
        </patternFill>
      </fill>
    </dxf>
    <dxf>
      <fill>
        <patternFill>
          <bgColor rgb="FFD7BDE2"/>
        </patternFill>
      </fill>
    </dxf>
    <dxf>
      <fill>
        <patternFill>
          <bgColor rgb="FFD7BDE2"/>
        </patternFill>
      </fill>
    </dxf>
    <dxf>
      <fill>
        <patternFill>
          <bgColor rgb="FF85C1E9"/>
        </patternFill>
      </fill>
    </dxf>
    <dxf>
      <fill>
        <patternFill>
          <bgColor rgb="FFEBDEF0"/>
        </patternFill>
      </fill>
    </dxf>
    <dxf>
      <fill>
        <patternFill>
          <bgColor rgb="FFEBDEF0"/>
        </patternFill>
      </fill>
    </dxf>
    <dxf>
      <fill>
        <patternFill>
          <bgColor rgb="FFEBDEF0"/>
        </patternFill>
      </fill>
    </dxf>
    <dxf>
      <fill>
        <patternFill>
          <bgColor rgb="FFEBDEF0"/>
        </patternFill>
      </fill>
    </dxf>
    <dxf>
      <fill>
        <patternFill>
          <bgColor rgb="FFABEBC6"/>
        </patternFill>
      </fill>
    </dxf>
    <dxf>
      <fill>
        <patternFill>
          <bgColor rgb="FFABEBC6"/>
        </patternFill>
      </fill>
    </dxf>
    <dxf>
      <fill>
        <patternFill>
          <bgColor rgb="FF9B59B6"/>
        </patternFill>
      </fill>
    </dxf>
    <dxf>
      <fill>
        <patternFill>
          <bgColor rgb="FF03AC0E"/>
        </patternFill>
      </fill>
    </dxf>
    <dxf>
      <fill>
        <patternFill>
          <bgColor rgb="FF797D7F"/>
        </patternFill>
      </fill>
    </dxf>
    <dxf>
      <fill>
        <patternFill>
          <bgColor rgb="FF2471A3"/>
        </patternFill>
      </fill>
    </dxf>
    <dxf>
      <fill>
        <patternFill>
          <bgColor rgb="FF229954"/>
        </patternFill>
      </fill>
    </dxf>
    <dxf>
      <fill>
        <patternFill>
          <bgColor rgb="FFC0392B"/>
        </patternFill>
      </fill>
    </dxf>
    <dxf>
      <fill>
        <patternFill>
          <bgColor rgb="FFE74C3C"/>
        </patternFill>
      </fill>
    </dxf>
    <dxf>
      <fill>
        <patternFill>
          <bgColor rgb="FF00880C"/>
        </patternFill>
      </fill>
    </dxf>
    <dxf>
      <fill>
        <patternFill>
          <bgColor rgb="FF2980B9"/>
        </patternFill>
      </fill>
    </dxf>
    <dxf>
      <fill>
        <patternFill>
          <bgColor rgb="FF7D3C98"/>
        </patternFill>
      </fill>
    </dxf>
    <dxf>
      <fill>
        <patternFill>
          <bgColor rgb="FF1A5276"/>
        </patternFill>
      </fill>
    </dxf>
    <dxf>
      <fill>
        <patternFill>
          <bgColor rgb="FF566573"/>
        </patternFill>
      </fill>
    </dxf>
    <dxf>
      <fill>
        <patternFill>
          <bgColor rgb="FFF5B041"/>
        </patternFill>
      </fill>
    </dxf>
    <dxf>
      <fill>
        <patternFill>
          <bgColor rgb="FFF5B041"/>
        </patternFill>
      </fill>
    </dxf>
    <dxf>
      <fill>
        <patternFill>
          <bgColor rgb="FFF5B041"/>
        </patternFill>
      </fill>
    </dxf>
    <dxf>
      <fill>
        <patternFill>
          <bgColor rgb="FFF5B041"/>
        </patternFill>
      </fill>
    </dxf>
    <dxf>
      <fill>
        <patternFill>
          <bgColor rgb="FFEDBB99"/>
        </patternFill>
      </fill>
    </dxf>
    <dxf>
      <fill>
        <patternFill>
          <bgColor rgb="FFEDBB99"/>
        </patternFill>
      </fill>
    </dxf>
    <dxf>
      <fill>
        <patternFill>
          <bgColor rgb="FFEDBB99"/>
        </patternFill>
      </fill>
    </dxf>
    <dxf>
      <fill>
        <patternFill>
          <bgColor rgb="FFEDBB99"/>
        </patternFill>
      </fill>
    </dxf>
    <dxf>
      <fill>
        <patternFill>
          <bgColor rgb="FFEDBB99"/>
        </patternFill>
      </fill>
    </dxf>
    <dxf>
      <fill>
        <patternFill>
          <bgColor rgb="FFEDBB99"/>
        </patternFill>
      </fill>
    </dxf>
    <dxf>
      <fill>
        <patternFill>
          <bgColor rgb="FFD68910"/>
        </patternFill>
      </fill>
    </dxf>
    <dxf>
      <fill>
        <patternFill>
          <bgColor rgb="FFD68910"/>
        </patternFill>
      </fill>
    </dxf>
    <dxf>
      <fill>
        <patternFill>
          <bgColor rgb="FFD68910"/>
        </patternFill>
      </fill>
    </dxf>
    <dxf>
      <fill>
        <patternFill>
          <bgColor rgb="FFD68910"/>
        </patternFill>
      </fill>
    </dxf>
    <dxf>
      <fill>
        <patternFill>
          <bgColor rgb="FFD68910"/>
        </patternFill>
      </fill>
    </dxf>
    <dxf>
      <fill>
        <patternFill>
          <bgColor rgb="FFD68910"/>
        </patternFill>
      </fill>
    </dxf>
    <dxf>
      <fill>
        <patternFill>
          <bgColor rgb="FFD68910"/>
        </patternFill>
      </fill>
    </dxf>
    <dxf>
      <fill>
        <patternFill>
          <bgColor rgb="FFF7DC6F"/>
        </patternFill>
      </fill>
    </dxf>
    <dxf>
      <fill>
        <patternFill>
          <bgColor rgb="FFF7DC6F"/>
        </patternFill>
      </fill>
    </dxf>
    <dxf>
      <fill>
        <patternFill>
          <bgColor rgb="FFE6B0AA"/>
        </patternFill>
      </fill>
    </dxf>
    <dxf>
      <fill>
        <patternFill>
          <bgColor rgb="FFAED6F1"/>
        </patternFill>
      </fill>
    </dxf>
    <dxf>
      <fill>
        <patternFill>
          <bgColor rgb="FFE6B0AA"/>
        </patternFill>
      </fill>
    </dxf>
    <dxf>
      <fill>
        <patternFill>
          <bgColor rgb="FFE6B0AA"/>
        </patternFill>
      </fill>
    </dxf>
    <dxf>
      <fill>
        <patternFill>
          <bgColor rgb="FFAED6F1"/>
        </patternFill>
      </fill>
    </dxf>
    <dxf>
      <fill>
        <patternFill>
          <bgColor rgb="FFAED6F1"/>
        </patternFill>
      </fill>
    </dxf>
    <dxf>
      <fill>
        <patternFill>
          <bgColor rgb="FFAED6F1"/>
        </patternFill>
      </fill>
    </dxf>
    <dxf>
      <fill>
        <patternFill>
          <bgColor rgb="FFAED6F1"/>
        </patternFill>
      </fill>
    </dxf>
    <dxf>
      <fill>
        <patternFill>
          <bgColor rgb="FFF4F6F7"/>
        </patternFill>
      </fill>
    </dxf>
    <dxf>
      <fill>
        <patternFill>
          <bgColor rgb="FFEDBB99"/>
        </patternFill>
      </fill>
    </dxf>
    <dxf>
      <fill>
        <patternFill>
          <bgColor rgb="FFF5B041"/>
        </patternFill>
      </fill>
    </dxf>
    <dxf>
      <fill>
        <patternFill>
          <bgColor rgb="FF943126"/>
        </patternFill>
      </fill>
    </dxf>
    <dxf>
      <fill>
        <patternFill>
          <bgColor rgb="FF2471A3"/>
        </patternFill>
      </fill>
    </dxf>
    <dxf>
      <fill>
        <patternFill>
          <bgColor rgb="FF797D7F"/>
        </patternFill>
      </fill>
    </dxf>
    <dxf>
      <fill>
        <patternFill>
          <bgColor rgb="FFD35400"/>
        </patternFill>
      </fill>
    </dxf>
    <dxf>
      <fill>
        <patternFill>
          <bgColor rgb="FFBA4A00"/>
        </patternFill>
      </fill>
    </dxf>
    <dxf>
      <fill>
        <patternFill>
          <bgColor rgb="FF873600"/>
        </patternFill>
      </fill>
    </dxf>
    <dxf>
      <fill>
        <patternFill>
          <bgColor rgb="FFB7950B"/>
        </patternFill>
      </fill>
    </dxf>
    <dxf>
      <font>
        <color theme="1"/>
      </font>
      <fill>
        <patternFill>
          <bgColor rgb="FFC00000"/>
        </patternFill>
      </fill>
    </dxf>
    <dxf>
      <fill>
        <patternFill patternType="solid">
          <fgColor auto="1"/>
          <bgColor rgb="FF92D050"/>
        </patternFill>
      </fill>
    </dxf>
  </dxfs>
  <tableStyles count="0" defaultTableStyle="TableStyleMedium2" defaultPivotStyle="PivotStyleLight16"/>
  <colors>
    <mruColors>
      <color rgb="FFF4F6F7"/>
      <color rgb="FFABEBC6"/>
      <color rgb="FFEBDEF0"/>
      <color rgb="FF85C1E9"/>
      <color rgb="FFD7BDE2"/>
      <color rgb="FFA9CCE3"/>
      <color rgb="FF2980B9"/>
      <color rgb="FFF1948A"/>
      <color rgb="FFCACFD2"/>
      <color rgb="FFA9D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Persentase Pengeluaran per Minggu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97D-4AEF-8AAD-806DEB5C062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97D-4AEF-8AAD-806DEB5C062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97D-4AEF-8AAD-806DEB5C062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97D-4AEF-8AAD-806DEB5C062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97D-4AEF-8AAD-806DEB5C062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97D-4AEF-8AAD-806DEB5C062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6"/>
              <c:pt idx="0">
                <c:v>Minggu 1</c:v>
              </c:pt>
              <c:pt idx="1">
                <c:v> Minggu 2</c:v>
              </c:pt>
              <c:pt idx="2">
                <c:v> Minggu 3</c:v>
              </c:pt>
              <c:pt idx="3">
                <c:v> Minggu 4</c:v>
              </c:pt>
              <c:pt idx="4">
                <c:v> Minggu 5</c:v>
              </c:pt>
              <c:pt idx="5">
                <c:v> Sisa Uang</c:v>
              </c:pt>
            </c:strLit>
          </c:cat>
          <c:val>
            <c:numRef>
              <c:f>'Detail Transaksi'!$I$19:$I$24</c:f>
              <c:numCache>
                <c:formatCode>_-[$Rp-3809]* #,##0.00_-;\-[$Rp-3809]* #,##0.00_-;_-[$Rp-3809]* "-"??_-;_-@_-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FF-4E4B-A97E-6907AE8857F0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D-D97D-4AEF-8AAD-806DEB5C0627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F-D97D-4AEF-8AAD-806DEB5C0627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1-D97D-4AEF-8AAD-806DEB5C0627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3-D97D-4AEF-8AAD-806DEB5C0627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5-D97D-4AEF-8AAD-806DEB5C0627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7-D97D-4AEF-8AAD-806DEB5C0627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1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Lit>
                    <c:ptCount val="6"/>
                    <c:pt idx="0">
                      <c:v>Minggu 1</c:v>
                    </c:pt>
                    <c:pt idx="1">
                      <c:v> Minggu 2</c:v>
                    </c:pt>
                    <c:pt idx="2">
                      <c:v> Minggu 3</c:v>
                    </c:pt>
                    <c:pt idx="3">
                      <c:v> Minggu 4</c:v>
                    </c:pt>
                    <c:pt idx="4">
                      <c:v> Minggu 5</c:v>
                    </c:pt>
                    <c:pt idx="5">
                      <c:v> Sisa Uang</c:v>
                    </c:pt>
                  </c:strLit>
                </c:cat>
                <c:val>
                  <c:numRef>
                    <c:extLst>
                      <c:ext uri="{02D57815-91ED-43cb-92C2-25804820EDAC}">
                        <c15:formulaRef>
                          <c15:sqref>'Detail Transaksi'!$J$19:$J$24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7EFF-4E4B-A97E-6907AE8857F0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Perbandingan Pengeluaran per Minggu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'Detail Transaksi'!$I$31:$I$35</c:f>
              <c:numCache>
                <c:formatCode>_-[$Rp-3809]* #,##0.00_-;\-[$Rp-3809]* #,##0.00_-;_-[$Rp-3809]* "-"??_-;_-@_-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20-477D-8054-5852570965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780384"/>
        <c:axId val="126792384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'Detail Transaksi'!$J$31:$J$35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3C20-477D-8054-5852570965E1}"/>
                  </c:ext>
                </c:extLst>
              </c15:ser>
            </c15:filteredLineSeries>
          </c:ext>
        </c:extLst>
      </c:lineChart>
      <c:catAx>
        <c:axId val="12678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92384"/>
        <c:crosses val="autoZero"/>
        <c:auto val="1"/>
        <c:lblAlgn val="ctr"/>
        <c:lblOffset val="100"/>
        <c:noMultiLvlLbl val="0"/>
      </c:catAx>
      <c:valAx>
        <c:axId val="12679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p-3809]* #,##0.00_-;\-[$Rp-3809]* #,##0.00_-;_-[$Rp-3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80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Persentase Pengeluaran Uang Digital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BD5-463C-8700-B486D5E319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BD5-463C-8700-B486D5E319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BD5-463C-8700-B486D5E319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BD5-463C-8700-B486D5E319A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Makanan Pokok</c:v>
              </c:pt>
              <c:pt idx="1">
                <c:v> Kebutuhan lain</c:v>
              </c:pt>
              <c:pt idx="2">
                <c:v> Jajan</c:v>
              </c:pt>
              <c:pt idx="3">
                <c:v> Sisa Uang</c:v>
              </c:pt>
            </c:strLit>
          </c:cat>
          <c:val>
            <c:numRef>
              <c:f>'Detail Transaksi'!$B$20:$B$23</c:f>
              <c:numCache>
                <c:formatCode>_-[$Rp-3809]* #,##0.00_-;\-[$Rp-3809]* #,##0.00_-;_-[$Rp-3809]* "-"??_-;_-@_-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FB-4508-8B40-951BDAB90D4E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9-1BD5-463C-8700-B486D5E319A3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B-1BD5-463C-8700-B486D5E319A3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D-1BD5-463C-8700-B486D5E319A3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F-1BD5-463C-8700-B486D5E319A3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1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Lit>
                    <c:ptCount val="4"/>
                    <c:pt idx="0">
                      <c:v>Makanan Pokok</c:v>
                    </c:pt>
                    <c:pt idx="1">
                      <c:v> Kebutuhan lain</c:v>
                    </c:pt>
                    <c:pt idx="2">
                      <c:v> Jajan</c:v>
                    </c:pt>
                    <c:pt idx="3">
                      <c:v> Sisa Uang</c:v>
                    </c:pt>
                  </c:strLit>
                </c:cat>
                <c:val>
                  <c:numRef>
                    <c:extLst>
                      <c:ext uri="{02D57815-91ED-43cb-92C2-25804820EDAC}">
                        <c15:formulaRef>
                          <c15:sqref>'Detail Transaksi'!$C$20:$C$23</c15:sqref>
                        </c15:formulaRef>
                      </c:ext>
                    </c:extLst>
                    <c:numCache>
                      <c:formatCode>_-[$Rp-3809]* #,##0.00_-;\-[$Rp-3809]* #,##0.00_-;_-[$Rp-3809]* "-"??_-;_-@_-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27FB-4508-8B40-951BDAB90D4E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kern="1200" spc="0" baseline="0">
                <a:solidFill>
                  <a:sysClr val="window" lastClr="FFFFFF"/>
                </a:solidFill>
              </a:rPr>
              <a:t>Nominal Pengeluaran Uang Digital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12D-4C92-976F-BD3096D7A3D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12D-4C92-976F-BD3096D7A3D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12D-4C92-976F-BD3096D7A3D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12D-4C92-976F-BD3096D7A3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Makanan Pokok</c:v>
              </c:pt>
              <c:pt idx="1">
                <c:v> Kebutuhan Lain</c:v>
              </c:pt>
              <c:pt idx="2">
                <c:v> Jajan</c:v>
              </c:pt>
              <c:pt idx="3">
                <c:v> Sisa Uang</c:v>
              </c:pt>
            </c:strLit>
          </c:cat>
          <c:val>
            <c:numRef>
              <c:f>'Detail Transaksi'!$B$32:$B$35</c:f>
              <c:numCache>
                <c:formatCode>_-[$Rp-3809]* #,##0.00_-;\-[$Rp-3809]* #,##0.00_-;_-[$Rp-3809]* "-"??_-;_-@_-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43-49A7-BC4E-E4970A871DC2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9-F12D-4C92-976F-BD3096D7A3D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B-F12D-4C92-976F-BD3096D7A3DF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D-F12D-4C92-976F-BD3096D7A3DF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F-F12D-4C92-976F-BD3096D7A3DF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1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Lit>
                    <c:ptCount val="4"/>
                    <c:pt idx="0">
                      <c:v>Makanan Pokok</c:v>
                    </c:pt>
                    <c:pt idx="1">
                      <c:v> Kebutuhan Lain</c:v>
                    </c:pt>
                    <c:pt idx="2">
                      <c:v> Jajan</c:v>
                    </c:pt>
                    <c:pt idx="3">
                      <c:v> Sisa Uang</c:v>
                    </c:pt>
                  </c:strLit>
                </c:cat>
                <c:val>
                  <c:numRef>
                    <c:extLst>
                      <c:ext uri="{02D57815-91ED-43cb-92C2-25804820EDAC}">
                        <c15:formulaRef>
                          <c15:sqref>'Detail Transaksi'!$C$32:$C$35</c15:sqref>
                        </c15:formulaRef>
                      </c:ext>
                    </c:extLst>
                    <c:numCache>
                      <c:formatCode>_-[$Rp-3809]* #,##0.00_-;\-[$Rp-3809]* #,##0.00_-;_-[$Rp-3809]* "-"??_-;_-@_-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E143-49A7-BC4E-E4970A871DC2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kern="1200" spc="0" baseline="0">
                <a:solidFill>
                  <a:sysClr val="window" lastClr="FFFFFF"/>
                </a:solidFill>
              </a:rPr>
              <a:t>Persentase Pengeluaran Uang Tunai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4DA-4579-952F-05A3AD412684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4DA-4579-952F-05A3AD412684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4DA-4579-952F-05A3AD412684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4DA-4579-952F-05A3AD41268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Makanan Pokok</c:v>
              </c:pt>
              <c:pt idx="1">
                <c:v> Kebutuhan Lain</c:v>
              </c:pt>
              <c:pt idx="2">
                <c:v> Jajan</c:v>
              </c:pt>
              <c:pt idx="3">
                <c:v> Sisa Uang</c:v>
              </c:pt>
            </c:strLit>
          </c:cat>
          <c:val>
            <c:numRef>
              <c:f>'Detail Transaksi'!$P$20:$P$23</c:f>
              <c:numCache>
                <c:formatCode>_-[$Rp-3809]* #,##0.00_-;\-[$Rp-3809]* #,##0.00_-;_-[$Rp-3809]* "-"??_-;_-@_-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D6-4FB0-A9FD-23068BE2232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9-94DA-4579-952F-05A3AD412684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B-94DA-4579-952F-05A3AD412684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D-94DA-4579-952F-05A3AD412684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F-94DA-4579-952F-05A3AD412684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1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Lit>
                    <c:ptCount val="4"/>
                    <c:pt idx="0">
                      <c:v>Makanan Pokok</c:v>
                    </c:pt>
                    <c:pt idx="1">
                      <c:v> Kebutuhan Lain</c:v>
                    </c:pt>
                    <c:pt idx="2">
                      <c:v> Jajan</c:v>
                    </c:pt>
                    <c:pt idx="3">
                      <c:v> Sisa Uang</c:v>
                    </c:pt>
                  </c:strLit>
                </c:cat>
                <c:val>
                  <c:numRef>
                    <c:extLst>
                      <c:ext uri="{02D57815-91ED-43cb-92C2-25804820EDAC}">
                        <c15:formulaRef>
                          <c15:sqref>'Detail Transaksi'!$Q$20:$Q$23</c15:sqref>
                        </c15:formulaRef>
                      </c:ext>
                    </c:extLst>
                    <c:numCache>
                      <c:formatCode>_-[$Rp-3809]* #,##0.00_-;\-[$Rp-3809]* #,##0.00_-;_-[$Rp-3809]* "-"??_-;_-@_-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12D6-4FB0-A9FD-23068BE22325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kern="1200" spc="0" baseline="0">
                <a:solidFill>
                  <a:sysClr val="window" lastClr="FFFFFF"/>
                </a:solidFill>
              </a:rPr>
              <a:t>Nominal Pengeluaran Uang Digital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65C-445B-9828-BA7A1F38262C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65C-445B-9828-BA7A1F38262C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65C-445B-9828-BA7A1F38262C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65C-445B-9828-BA7A1F38262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Makanan Pokok</c:v>
              </c:pt>
              <c:pt idx="1">
                <c:v> Kebutuhan lain</c:v>
              </c:pt>
              <c:pt idx="2">
                <c:v> Jajan</c:v>
              </c:pt>
              <c:pt idx="3">
                <c:v> Sisa Uang</c:v>
              </c:pt>
            </c:strLit>
          </c:cat>
          <c:val>
            <c:numRef>
              <c:f>'Detail Transaksi'!$P$32:$P$35</c:f>
              <c:numCache>
                <c:formatCode>_-[$Rp-3809]* #,##0.00_-;\-[$Rp-3809]* #,##0.00_-;_-[$Rp-3809]* "-"??_-;_-@_-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07-4475-8924-0CFF08ACB6C9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9-F65C-445B-9828-BA7A1F38262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B-F65C-445B-9828-BA7A1F38262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D-F65C-445B-9828-BA7A1F38262C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F-F65C-445B-9828-BA7A1F38262C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1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Lit>
                    <c:ptCount val="4"/>
                    <c:pt idx="0">
                      <c:v>Makanan Pokok</c:v>
                    </c:pt>
                    <c:pt idx="1">
                      <c:v> Kebutuhan lain</c:v>
                    </c:pt>
                    <c:pt idx="2">
                      <c:v> Jajan</c:v>
                    </c:pt>
                    <c:pt idx="3">
                      <c:v> Sisa Uang</c:v>
                    </c:pt>
                  </c:strLit>
                </c:cat>
                <c:val>
                  <c:numRef>
                    <c:extLst>
                      <c:ext uri="{02D57815-91ED-43cb-92C2-25804820EDAC}">
                        <c15:formulaRef>
                          <c15:sqref>'Detail Transaksi'!$Q$32:$Q$35</c15:sqref>
                        </c15:formulaRef>
                      </c:ext>
                    </c:extLst>
                    <c:numCache>
                      <c:formatCode>_-[$Rp-3809]* #,##0.00_-;\-[$Rp-3809]* #,##0.00_-;_-[$Rp-3809]* "-"??_-;_-@_-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0B07-4475-8924-0CFF08ACB6C9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247651</xdr:colOff>
      <xdr:row>17</xdr:row>
      <xdr:rowOff>242888</xdr:rowOff>
    </xdr:from>
    <xdr:to>
      <xdr:col>14</xdr:col>
      <xdr:colOff>0</xdr:colOff>
      <xdr:row>29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1BB2F6-9F13-3652-8D50-54B51313D6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30</xdr:row>
      <xdr:rowOff>52387</xdr:rowOff>
    </xdr:from>
    <xdr:to>
      <xdr:col>14</xdr:col>
      <xdr:colOff>0</xdr:colOff>
      <xdr:row>42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A82DE67-9B7D-9D2E-AFD2-C8823156B6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9525</xdr:colOff>
      <xdr:row>18</xdr:row>
      <xdr:rowOff>4762</xdr:rowOff>
    </xdr:from>
    <xdr:to>
      <xdr:col>7</xdr:col>
      <xdr:colOff>9525</xdr:colOff>
      <xdr:row>29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1D4FDD-E8FC-27AB-B1C9-F1276DF2A0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9524</xdr:colOff>
      <xdr:row>30</xdr:row>
      <xdr:rowOff>71438</xdr:rowOff>
    </xdr:from>
    <xdr:to>
      <xdr:col>6</xdr:col>
      <xdr:colOff>809624</xdr:colOff>
      <xdr:row>42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29654AC-1AB7-8015-173D-594DB5D41B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0</xdr:colOff>
      <xdr:row>17</xdr:row>
      <xdr:rowOff>233363</xdr:rowOff>
    </xdr:from>
    <xdr:to>
      <xdr:col>21</xdr:col>
      <xdr:colOff>0</xdr:colOff>
      <xdr:row>29</xdr:row>
      <xdr:rowOff>123825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18234B0-19E4-34BE-3A13-348A8B98A8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0</xdr:colOff>
      <xdr:row>30</xdr:row>
      <xdr:rowOff>119063</xdr:rowOff>
    </xdr:from>
    <xdr:to>
      <xdr:col>21</xdr:col>
      <xdr:colOff>0</xdr:colOff>
      <xdr:row>42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0AE5AF5-3E76-3079-4EB6-7C27B11436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31"/>
  <sheetViews>
    <sheetView tabSelected="1" zoomScaleNormal="100" workbookViewId="0">
      <selection activeCell="H25" sqref="H25"/>
    </sheetView>
  </sheetViews>
  <sheetFormatPr defaultColWidth="11.77734375" defaultRowHeight="14.4" customHeight="1" x14ac:dyDescent="0.3"/>
  <cols>
    <col min="1" max="1" width="3.77734375" style="4" customWidth="1"/>
    <col min="2" max="16384" width="11.77734375" style="4"/>
  </cols>
  <sheetData>
    <row r="2" spans="2:13" ht="14.4" customHeight="1" x14ac:dyDescent="0.3">
      <c r="B2" s="64" t="s">
        <v>310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6"/>
    </row>
    <row r="3" spans="2:13" ht="14.4" customHeight="1" x14ac:dyDescent="0.3">
      <c r="B3" s="67"/>
      <c r="C3" s="68"/>
      <c r="D3" s="68"/>
      <c r="E3" s="68"/>
      <c r="F3" s="68"/>
      <c r="G3" s="68"/>
      <c r="H3" s="68"/>
      <c r="I3" s="68"/>
      <c r="J3" s="68"/>
      <c r="K3" s="68"/>
      <c r="L3" s="68"/>
      <c r="M3" s="69"/>
    </row>
    <row r="4" spans="2:13" ht="14.4" customHeight="1" x14ac:dyDescent="0.3">
      <c r="B4" s="70"/>
      <c r="C4" s="71"/>
      <c r="D4" s="71"/>
      <c r="E4" s="71"/>
      <c r="F4" s="71"/>
      <c r="G4" s="71"/>
      <c r="H4" s="71"/>
      <c r="I4" s="71"/>
      <c r="J4" s="71"/>
      <c r="K4" s="71"/>
      <c r="L4" s="71"/>
      <c r="M4" s="72"/>
    </row>
    <row r="6" spans="2:13" ht="14.4" customHeight="1" x14ac:dyDescent="0.3">
      <c r="B6" s="79" t="s">
        <v>56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1"/>
    </row>
    <row r="7" spans="2:13" ht="14.4" customHeight="1" x14ac:dyDescent="0.3">
      <c r="B7" s="73"/>
      <c r="C7" s="74"/>
      <c r="D7" s="74"/>
      <c r="E7" s="74"/>
      <c r="F7" s="74"/>
      <c r="G7" s="74"/>
      <c r="H7" s="74"/>
      <c r="I7" s="74"/>
      <c r="J7" s="74"/>
      <c r="K7" s="74"/>
      <c r="L7" s="74"/>
      <c r="M7" s="75"/>
    </row>
    <row r="8" spans="2:13" ht="14.4" customHeight="1" x14ac:dyDescent="0.3">
      <c r="B8" s="73" t="s">
        <v>57</v>
      </c>
      <c r="C8" s="74"/>
      <c r="D8" s="74"/>
      <c r="E8" s="74"/>
      <c r="F8" s="74"/>
      <c r="G8" s="74"/>
      <c r="H8" s="74"/>
      <c r="I8" s="74"/>
      <c r="J8" s="74"/>
      <c r="K8" s="74"/>
      <c r="L8" s="74"/>
      <c r="M8" s="75"/>
    </row>
    <row r="9" spans="2:13" ht="14.4" customHeight="1" x14ac:dyDescent="0.3">
      <c r="B9" s="73"/>
      <c r="C9" s="74"/>
      <c r="D9" s="74"/>
      <c r="E9" s="74"/>
      <c r="F9" s="74"/>
      <c r="G9" s="74"/>
      <c r="H9" s="74"/>
      <c r="I9" s="74"/>
      <c r="J9" s="74"/>
      <c r="K9" s="74"/>
      <c r="L9" s="74"/>
      <c r="M9" s="75"/>
    </row>
    <row r="10" spans="2:13" ht="14.4" customHeight="1" x14ac:dyDescent="0.3">
      <c r="B10" s="73" t="s">
        <v>58</v>
      </c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5"/>
    </row>
    <row r="11" spans="2:13" ht="14.4" customHeight="1" x14ac:dyDescent="0.3">
      <c r="B11" s="76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8"/>
    </row>
    <row r="13" spans="2:13" ht="14.4" customHeight="1" x14ac:dyDescent="0.3">
      <c r="B13" s="82" t="s">
        <v>30</v>
      </c>
      <c r="C13" s="83"/>
      <c r="D13" s="84"/>
      <c r="E13" s="91" t="s">
        <v>31</v>
      </c>
      <c r="F13" s="92"/>
      <c r="G13" s="93"/>
      <c r="H13" s="100" t="s">
        <v>60</v>
      </c>
      <c r="I13" s="101"/>
      <c r="J13" s="102"/>
      <c r="K13" s="109" t="s">
        <v>59</v>
      </c>
      <c r="L13" s="110"/>
      <c r="M13" s="111"/>
    </row>
    <row r="14" spans="2:13" ht="14.4" customHeight="1" x14ac:dyDescent="0.3">
      <c r="B14" s="85"/>
      <c r="C14" s="86"/>
      <c r="D14" s="87"/>
      <c r="E14" s="94"/>
      <c r="F14" s="95"/>
      <c r="G14" s="96"/>
      <c r="H14" s="103"/>
      <c r="I14" s="104"/>
      <c r="J14" s="105"/>
      <c r="K14" s="112"/>
      <c r="L14" s="113"/>
      <c r="M14" s="114"/>
    </row>
    <row r="15" spans="2:13" ht="14.4" customHeight="1" x14ac:dyDescent="0.3">
      <c r="B15" s="88"/>
      <c r="C15" s="89"/>
      <c r="D15" s="90"/>
      <c r="E15" s="97"/>
      <c r="F15" s="98"/>
      <c r="G15" s="99"/>
      <c r="H15" s="106"/>
      <c r="I15" s="107"/>
      <c r="J15" s="108"/>
      <c r="K15" s="115"/>
      <c r="L15" s="116"/>
      <c r="M15" s="117"/>
    </row>
    <row r="16" spans="2:13" ht="14.4" customHeight="1" x14ac:dyDescent="0.3">
      <c r="B16" s="28" t="s">
        <v>61</v>
      </c>
      <c r="C16" s="29"/>
      <c r="D16" s="30"/>
      <c r="E16" s="37" t="s">
        <v>62</v>
      </c>
      <c r="F16" s="38"/>
      <c r="G16" s="39"/>
      <c r="H16" s="46" t="s">
        <v>63</v>
      </c>
      <c r="I16" s="47"/>
      <c r="J16" s="48"/>
      <c r="K16" s="55" t="s">
        <v>64</v>
      </c>
      <c r="L16" s="56"/>
      <c r="M16" s="57"/>
    </row>
    <row r="17" spans="2:13" ht="14.4" customHeight="1" x14ac:dyDescent="0.3">
      <c r="B17" s="31"/>
      <c r="C17" s="32"/>
      <c r="D17" s="33"/>
      <c r="E17" s="40"/>
      <c r="F17" s="41"/>
      <c r="G17" s="42"/>
      <c r="H17" s="49"/>
      <c r="I17" s="50"/>
      <c r="J17" s="51"/>
      <c r="K17" s="58"/>
      <c r="L17" s="59"/>
      <c r="M17" s="60"/>
    </row>
    <row r="18" spans="2:13" ht="14.4" customHeight="1" x14ac:dyDescent="0.3">
      <c r="B18" s="31"/>
      <c r="C18" s="32"/>
      <c r="D18" s="33"/>
      <c r="E18" s="40"/>
      <c r="F18" s="41"/>
      <c r="G18" s="42"/>
      <c r="H18" s="49"/>
      <c r="I18" s="50"/>
      <c r="J18" s="51"/>
      <c r="K18" s="58"/>
      <c r="L18" s="59"/>
      <c r="M18" s="60"/>
    </row>
    <row r="19" spans="2:13" ht="14.4" customHeight="1" x14ac:dyDescent="0.3">
      <c r="B19" s="31"/>
      <c r="C19" s="32"/>
      <c r="D19" s="33"/>
      <c r="E19" s="40"/>
      <c r="F19" s="41"/>
      <c r="G19" s="42"/>
      <c r="H19" s="49"/>
      <c r="I19" s="50"/>
      <c r="J19" s="51"/>
      <c r="K19" s="58"/>
      <c r="L19" s="59"/>
      <c r="M19" s="60"/>
    </row>
    <row r="20" spans="2:13" ht="14.4" customHeight="1" x14ac:dyDescent="0.3">
      <c r="B20" s="31"/>
      <c r="C20" s="32"/>
      <c r="D20" s="33"/>
      <c r="E20" s="40"/>
      <c r="F20" s="41"/>
      <c r="G20" s="42"/>
      <c r="H20" s="49"/>
      <c r="I20" s="50"/>
      <c r="J20" s="51"/>
      <c r="K20" s="58"/>
      <c r="L20" s="59"/>
      <c r="M20" s="60"/>
    </row>
    <row r="21" spans="2:13" ht="14.4" customHeight="1" x14ac:dyDescent="0.3">
      <c r="B21" s="31"/>
      <c r="C21" s="32"/>
      <c r="D21" s="33"/>
      <c r="E21" s="40"/>
      <c r="F21" s="41"/>
      <c r="G21" s="42"/>
      <c r="H21" s="49"/>
      <c r="I21" s="50"/>
      <c r="J21" s="51"/>
      <c r="K21" s="58"/>
      <c r="L21" s="59"/>
      <c r="M21" s="60"/>
    </row>
    <row r="22" spans="2:13" ht="14.4" customHeight="1" x14ac:dyDescent="0.3">
      <c r="B22" s="34"/>
      <c r="C22" s="35"/>
      <c r="D22" s="36"/>
      <c r="E22" s="43"/>
      <c r="F22" s="44"/>
      <c r="G22" s="45"/>
      <c r="H22" s="52"/>
      <c r="I22" s="53"/>
      <c r="J22" s="54"/>
      <c r="K22" s="61"/>
      <c r="L22" s="62"/>
      <c r="M22" s="63"/>
    </row>
    <row r="29" spans="2:13" ht="14.4" customHeight="1" x14ac:dyDescent="0.3">
      <c r="C29" s="5"/>
      <c r="I29" s="5"/>
    </row>
    <row r="30" spans="2:13" ht="14.4" customHeight="1" x14ac:dyDescent="0.3">
      <c r="C30" s="5"/>
      <c r="I30" s="5"/>
    </row>
    <row r="31" spans="2:13" ht="14.4" customHeight="1" x14ac:dyDescent="0.3">
      <c r="C31" s="5"/>
      <c r="I31" s="5"/>
    </row>
  </sheetData>
  <mergeCells count="12">
    <mergeCell ref="B16:D22"/>
    <mergeCell ref="E16:G22"/>
    <mergeCell ref="H16:J22"/>
    <mergeCell ref="K16:M22"/>
    <mergeCell ref="B2:M4"/>
    <mergeCell ref="B10:M11"/>
    <mergeCell ref="B8:M9"/>
    <mergeCell ref="B6:M7"/>
    <mergeCell ref="B13:D15"/>
    <mergeCell ref="E13:G15"/>
    <mergeCell ref="H13:J15"/>
    <mergeCell ref="K13:M15"/>
  </mergeCells>
  <phoneticPr fontId="10" type="noConversion"/>
  <hyperlinks>
    <hyperlink ref="B13:D15" location="'Detail Transaksi'!A1" display="Detail Transaksi" xr:uid="{D1311707-3D04-4812-BF9D-7ADE657DF64F}"/>
    <hyperlink ref="E13:G15" location="Pengeluaran!A1" display="Pengeluaran" xr:uid="{06A35D15-4F86-408B-A786-95B597802D7F}"/>
    <hyperlink ref="H13:J15" location="Pendapatan!A1" display="Pendapatan" xr:uid="{890750DB-F273-48ED-885D-679D9F3D0720}"/>
    <hyperlink ref="K13:M15" location="Pendukung!A1" display="Pendukung" xr:uid="{C13EF219-C36D-4019-BF77-AB128CC9D26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F545C-C046-4973-9E14-F65CDDAD5DA4}">
  <dimension ref="B2:X52"/>
  <sheetViews>
    <sheetView zoomScale="80" zoomScaleNormal="80" workbookViewId="0">
      <selection activeCell="G17" sqref="G17"/>
    </sheetView>
  </sheetViews>
  <sheetFormatPr defaultColWidth="11.77734375" defaultRowHeight="19.8" customHeight="1" x14ac:dyDescent="0.3"/>
  <cols>
    <col min="1" max="1" width="3.77734375" style="4" customWidth="1"/>
    <col min="2" max="7" width="11.77734375" style="4"/>
    <col min="8" max="8" width="3.77734375" style="4" customWidth="1"/>
    <col min="9" max="9" width="11.77734375" style="4"/>
    <col min="10" max="10" width="11.77734375" style="4" customWidth="1"/>
    <col min="11" max="13" width="11.77734375" style="4"/>
    <col min="14" max="14" width="11.77734375" style="4" customWidth="1"/>
    <col min="15" max="15" width="3.77734375" style="4" customWidth="1"/>
    <col min="16" max="16" width="11.77734375" style="4"/>
    <col min="17" max="17" width="11.77734375" style="4" customWidth="1"/>
    <col min="18" max="20" width="11.77734375" style="4"/>
    <col min="21" max="21" width="11.77734375" style="4" customWidth="1"/>
    <col min="22" max="22" width="3.77734375" style="4" customWidth="1"/>
    <col min="23" max="16384" width="11.77734375" style="4"/>
  </cols>
  <sheetData>
    <row r="2" spans="2:24" ht="19.8" customHeight="1" x14ac:dyDescent="0.3">
      <c r="B2" s="148" t="s">
        <v>30</v>
      </c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</row>
    <row r="3" spans="2:24" ht="19.8" customHeight="1" x14ac:dyDescent="0.3"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</row>
    <row r="4" spans="2:24" ht="19.8" customHeight="1" x14ac:dyDescent="0.3">
      <c r="B4" s="148"/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</row>
    <row r="6" spans="2:24" ht="19.8" customHeight="1" x14ac:dyDescent="0.3">
      <c r="B6" s="157" t="s">
        <v>35</v>
      </c>
      <c r="C6" s="158"/>
      <c r="D6" s="158"/>
      <c r="E6" s="158"/>
      <c r="F6" s="158"/>
      <c r="G6" s="159"/>
      <c r="H6" s="6"/>
      <c r="I6" s="165" t="s">
        <v>40</v>
      </c>
      <c r="J6" s="165"/>
      <c r="K6" s="165"/>
      <c r="L6" s="165"/>
      <c r="M6" s="165"/>
      <c r="N6" s="165"/>
      <c r="P6" s="157" t="s">
        <v>36</v>
      </c>
      <c r="Q6" s="158"/>
      <c r="R6" s="158"/>
      <c r="S6" s="158"/>
      <c r="T6" s="158"/>
      <c r="U6" s="159"/>
      <c r="W6" s="153" t="s">
        <v>95</v>
      </c>
      <c r="X6" s="154"/>
    </row>
    <row r="7" spans="2:24" ht="19.8" customHeight="1" x14ac:dyDescent="0.3">
      <c r="B7" s="160"/>
      <c r="C7" s="161"/>
      <c r="D7" s="161"/>
      <c r="E7" s="161"/>
      <c r="F7" s="161"/>
      <c r="G7" s="162"/>
      <c r="H7" s="6"/>
      <c r="I7" s="165"/>
      <c r="J7" s="165"/>
      <c r="K7" s="165"/>
      <c r="L7" s="165"/>
      <c r="M7" s="165"/>
      <c r="N7" s="165"/>
      <c r="P7" s="160"/>
      <c r="Q7" s="161"/>
      <c r="R7" s="161"/>
      <c r="S7" s="161"/>
      <c r="T7" s="161"/>
      <c r="U7" s="162"/>
      <c r="W7" s="155"/>
      <c r="X7" s="156"/>
    </row>
    <row r="8" spans="2:24" ht="19.8" customHeight="1" x14ac:dyDescent="0.3">
      <c r="I8" s="163" t="s">
        <v>41</v>
      </c>
      <c r="J8" s="163"/>
      <c r="K8" s="164">
        <f>Kalkulasi!C4</f>
        <v>0</v>
      </c>
      <c r="L8" s="164"/>
      <c r="M8" s="164"/>
      <c r="N8" s="164"/>
      <c r="W8" s="149">
        <v>45991</v>
      </c>
      <c r="X8" s="150"/>
    </row>
    <row r="9" spans="2:24" ht="19.8" customHeight="1" x14ac:dyDescent="0.3">
      <c r="B9" s="163" t="s">
        <v>93</v>
      </c>
      <c r="C9" s="163"/>
      <c r="D9" s="164">
        <f>Kalkulasi!A4</f>
        <v>0</v>
      </c>
      <c r="E9" s="164"/>
      <c r="F9" s="164"/>
      <c r="G9" s="164"/>
      <c r="I9" s="163"/>
      <c r="J9" s="163"/>
      <c r="K9" s="164"/>
      <c r="L9" s="164"/>
      <c r="M9" s="164"/>
      <c r="N9" s="164"/>
      <c r="P9" s="167" t="s">
        <v>93</v>
      </c>
      <c r="Q9" s="168"/>
      <c r="R9" s="124">
        <f>Kalkulasi!B4</f>
        <v>0</v>
      </c>
      <c r="S9" s="125"/>
      <c r="T9" s="125"/>
      <c r="U9" s="126"/>
      <c r="W9" s="151"/>
      <c r="X9" s="152"/>
    </row>
    <row r="10" spans="2:24" ht="19.8" customHeight="1" x14ac:dyDescent="0.3">
      <c r="B10" s="163"/>
      <c r="C10" s="163"/>
      <c r="D10" s="164"/>
      <c r="E10" s="164"/>
      <c r="F10" s="164"/>
      <c r="G10" s="164"/>
      <c r="I10" s="163" t="s">
        <v>43</v>
      </c>
      <c r="J10" s="163"/>
      <c r="K10" s="164">
        <f>Kalkulasi!C7</f>
        <v>0</v>
      </c>
      <c r="L10" s="164"/>
      <c r="M10" s="164"/>
      <c r="N10" s="164"/>
      <c r="P10" s="169"/>
      <c r="Q10" s="170"/>
      <c r="R10" s="127"/>
      <c r="S10" s="128"/>
      <c r="T10" s="128"/>
      <c r="U10" s="129"/>
    </row>
    <row r="11" spans="2:24" ht="19.8" customHeight="1" x14ac:dyDescent="0.3">
      <c r="I11" s="163"/>
      <c r="J11" s="163"/>
      <c r="K11" s="164"/>
      <c r="L11" s="164"/>
      <c r="M11" s="164"/>
      <c r="N11" s="164"/>
      <c r="W11" s="175" t="s">
        <v>47</v>
      </c>
      <c r="X11" s="176"/>
    </row>
    <row r="12" spans="2:24" ht="19.8" customHeight="1" x14ac:dyDescent="0.3">
      <c r="B12" s="163" t="s">
        <v>94</v>
      </c>
      <c r="C12" s="163"/>
      <c r="D12" s="164">
        <f>Kalkulasi!A7</f>
        <v>0</v>
      </c>
      <c r="E12" s="164"/>
      <c r="F12" s="164"/>
      <c r="G12" s="164"/>
      <c r="I12" s="163" t="s">
        <v>45</v>
      </c>
      <c r="J12" s="163"/>
      <c r="K12" s="164">
        <f>Kalkulasi!C10</f>
        <v>0</v>
      </c>
      <c r="L12" s="164"/>
      <c r="M12" s="164"/>
      <c r="N12" s="164"/>
      <c r="P12" s="167" t="s">
        <v>94</v>
      </c>
      <c r="Q12" s="168"/>
      <c r="R12" s="124">
        <f>Kalkulasi!B7</f>
        <v>0</v>
      </c>
      <c r="S12" s="125"/>
      <c r="T12" s="125"/>
      <c r="U12" s="126"/>
      <c r="W12" s="177"/>
      <c r="X12" s="178"/>
    </row>
    <row r="13" spans="2:24" ht="19.8" customHeight="1" x14ac:dyDescent="0.3">
      <c r="B13" s="163"/>
      <c r="C13" s="163"/>
      <c r="D13" s="164"/>
      <c r="E13" s="164"/>
      <c r="F13" s="164"/>
      <c r="G13" s="164"/>
      <c r="I13" s="163"/>
      <c r="J13" s="163"/>
      <c r="K13" s="164"/>
      <c r="L13" s="164"/>
      <c r="M13" s="164"/>
      <c r="N13" s="164"/>
      <c r="P13" s="169"/>
      <c r="Q13" s="170"/>
      <c r="R13" s="127"/>
      <c r="S13" s="128"/>
      <c r="T13" s="128"/>
      <c r="U13" s="129"/>
      <c r="W13" s="174">
        <f ca="1">Kalkulasi!D4</f>
        <v>-1</v>
      </c>
      <c r="X13" s="150"/>
    </row>
    <row r="14" spans="2:24" ht="19.8" customHeight="1" x14ac:dyDescent="0.3">
      <c r="I14" s="163" t="s">
        <v>46</v>
      </c>
      <c r="J14" s="163"/>
      <c r="K14" s="164">
        <f>Kalkulasi!C13</f>
        <v>0</v>
      </c>
      <c r="L14" s="164"/>
      <c r="M14" s="164"/>
      <c r="N14" s="164"/>
      <c r="W14" s="151"/>
      <c r="X14" s="152"/>
    </row>
    <row r="15" spans="2:24" ht="19.8" customHeight="1" x14ac:dyDescent="0.3">
      <c r="B15" s="163" t="s">
        <v>96</v>
      </c>
      <c r="C15" s="163"/>
      <c r="D15" s="166">
        <f>Kalkulasi!A10</f>
        <v>0</v>
      </c>
      <c r="E15" s="166"/>
      <c r="F15" s="166"/>
      <c r="G15" s="166"/>
      <c r="I15" s="163"/>
      <c r="J15" s="163"/>
      <c r="K15" s="164"/>
      <c r="L15" s="164"/>
      <c r="M15" s="164"/>
      <c r="N15" s="164"/>
      <c r="P15" s="167" t="s">
        <v>96</v>
      </c>
      <c r="Q15" s="168"/>
      <c r="R15" s="124">
        <f>Kalkulasi!B10</f>
        <v>0</v>
      </c>
      <c r="S15" s="125"/>
      <c r="T15" s="125"/>
      <c r="U15" s="126"/>
    </row>
    <row r="16" spans="2:24" ht="19.8" customHeight="1" x14ac:dyDescent="0.3">
      <c r="B16" s="163"/>
      <c r="C16" s="163"/>
      <c r="D16" s="166"/>
      <c r="E16" s="166"/>
      <c r="F16" s="166"/>
      <c r="G16" s="166"/>
      <c r="I16" s="163" t="s">
        <v>48</v>
      </c>
      <c r="J16" s="163"/>
      <c r="K16" s="164">
        <f>Kalkulasi!C16</f>
        <v>0</v>
      </c>
      <c r="L16" s="164"/>
      <c r="M16" s="164"/>
      <c r="N16" s="164"/>
      <c r="P16" s="169"/>
      <c r="Q16" s="170"/>
      <c r="R16" s="127"/>
      <c r="S16" s="128"/>
      <c r="T16" s="128"/>
      <c r="U16" s="129"/>
      <c r="W16" s="173" t="s">
        <v>199</v>
      </c>
      <c r="X16" s="173"/>
    </row>
    <row r="17" spans="2:24" ht="19.8" customHeight="1" x14ac:dyDescent="0.3">
      <c r="I17" s="163"/>
      <c r="J17" s="163"/>
      <c r="K17" s="164"/>
      <c r="L17" s="164"/>
      <c r="M17" s="164"/>
      <c r="N17" s="164"/>
      <c r="W17" s="173"/>
      <c r="X17" s="173"/>
    </row>
    <row r="18" spans="2:24" ht="19.8" customHeight="1" x14ac:dyDescent="0.3">
      <c r="W18" s="172">
        <f>Kalkulasi!D7</f>
        <v>0</v>
      </c>
      <c r="X18" s="172"/>
    </row>
    <row r="19" spans="2:24" ht="19.8" customHeight="1" x14ac:dyDescent="0.3">
      <c r="D19" s="141" t="s">
        <v>110</v>
      </c>
      <c r="E19" s="141"/>
      <c r="I19" s="118">
        <f>Kalkulasi!C4</f>
        <v>0</v>
      </c>
      <c r="J19" s="119"/>
      <c r="K19" s="119" t="s">
        <v>101</v>
      </c>
      <c r="L19" s="119"/>
      <c r="M19" s="141" t="s">
        <v>114</v>
      </c>
      <c r="N19" s="141"/>
      <c r="R19" s="141" t="s">
        <v>112</v>
      </c>
      <c r="S19" s="141"/>
      <c r="W19" s="172"/>
      <c r="X19" s="172"/>
    </row>
    <row r="20" spans="2:24" ht="19.8" customHeight="1" x14ac:dyDescent="0.3">
      <c r="B20" s="171">
        <f>Kalkulasi!E4</f>
        <v>0</v>
      </c>
      <c r="C20" s="171"/>
      <c r="D20" s="119" t="s">
        <v>98</v>
      </c>
      <c r="E20" s="119"/>
      <c r="I20" s="118">
        <f>Kalkulasi!C7</f>
        <v>0</v>
      </c>
      <c r="J20" s="119"/>
      <c r="K20" s="119" t="s">
        <v>102</v>
      </c>
      <c r="L20" s="119"/>
      <c r="P20" s="118">
        <f>Kalkulasi!F4</f>
        <v>0</v>
      </c>
      <c r="Q20" s="118"/>
      <c r="R20" s="119" t="s">
        <v>107</v>
      </c>
      <c r="S20" s="119"/>
    </row>
    <row r="21" spans="2:24" ht="19.8" customHeight="1" x14ac:dyDescent="0.3">
      <c r="B21" s="171">
        <f>Kalkulasi!E7</f>
        <v>0</v>
      </c>
      <c r="C21" s="171"/>
      <c r="D21" s="119" t="s">
        <v>99</v>
      </c>
      <c r="E21" s="119"/>
      <c r="I21" s="118">
        <f>Kalkulasi!C10</f>
        <v>0</v>
      </c>
      <c r="J21" s="119"/>
      <c r="K21" s="119" t="s">
        <v>103</v>
      </c>
      <c r="L21" s="119"/>
      <c r="P21" s="118">
        <f>Kalkulasi!F7</f>
        <v>0</v>
      </c>
      <c r="Q21" s="118"/>
      <c r="R21" s="119" t="s">
        <v>108</v>
      </c>
      <c r="S21" s="119"/>
      <c r="W21" s="153" t="s">
        <v>188</v>
      </c>
      <c r="X21" s="154"/>
    </row>
    <row r="22" spans="2:24" ht="19.8" customHeight="1" x14ac:dyDescent="0.3">
      <c r="B22" s="171">
        <f>Kalkulasi!E10</f>
        <v>0</v>
      </c>
      <c r="C22" s="171"/>
      <c r="D22" s="119" t="s">
        <v>191</v>
      </c>
      <c r="E22" s="119"/>
      <c r="I22" s="118">
        <f>Kalkulasi!C13</f>
        <v>0</v>
      </c>
      <c r="J22" s="119"/>
      <c r="K22" s="119" t="s">
        <v>104</v>
      </c>
      <c r="L22" s="119"/>
      <c r="P22" s="118">
        <f>Kalkulasi!F10</f>
        <v>0</v>
      </c>
      <c r="Q22" s="118"/>
      <c r="R22" s="119" t="s">
        <v>192</v>
      </c>
      <c r="S22" s="119"/>
      <c r="W22" s="155"/>
      <c r="X22" s="156"/>
    </row>
    <row r="23" spans="2:24" ht="19.8" customHeight="1" x14ac:dyDescent="0.3">
      <c r="B23" s="118">
        <f>Kalkulasi!E13</f>
        <v>0</v>
      </c>
      <c r="C23" s="119"/>
      <c r="D23" s="119" t="s">
        <v>100</v>
      </c>
      <c r="E23" s="119"/>
      <c r="I23" s="118">
        <f>Kalkulasi!C16</f>
        <v>0</v>
      </c>
      <c r="J23" s="119"/>
      <c r="K23" s="119" t="s">
        <v>105</v>
      </c>
      <c r="L23" s="119"/>
      <c r="P23" s="118">
        <f>Kalkulasi!F13</f>
        <v>0</v>
      </c>
      <c r="Q23" s="119"/>
      <c r="R23" s="119" t="s">
        <v>109</v>
      </c>
      <c r="S23" s="119"/>
      <c r="W23" s="124">
        <f ca="1">Kalkulasi!D10</f>
        <v>0</v>
      </c>
      <c r="X23" s="126"/>
    </row>
    <row r="24" spans="2:24" ht="19.8" customHeight="1" x14ac:dyDescent="0.3">
      <c r="I24" s="118">
        <f>Kalkulasi!C19</f>
        <v>0</v>
      </c>
      <c r="J24" s="119"/>
      <c r="K24" s="119" t="s">
        <v>106</v>
      </c>
      <c r="L24" s="119"/>
      <c r="W24" s="127"/>
      <c r="X24" s="129"/>
    </row>
    <row r="26" spans="2:24" ht="19.8" customHeight="1" x14ac:dyDescent="0.3">
      <c r="W26" s="153" t="s">
        <v>189</v>
      </c>
      <c r="X26" s="154"/>
    </row>
    <row r="27" spans="2:24" ht="19.8" customHeight="1" x14ac:dyDescent="0.3">
      <c r="W27" s="155"/>
      <c r="X27" s="156"/>
    </row>
    <row r="28" spans="2:24" ht="19.8" customHeight="1" x14ac:dyDescent="0.3">
      <c r="W28" s="124">
        <f ca="1">Kalkulasi!D13</f>
        <v>0</v>
      </c>
      <c r="X28" s="126"/>
    </row>
    <row r="29" spans="2:24" ht="19.8" customHeight="1" x14ac:dyDescent="0.3">
      <c r="W29" s="127"/>
      <c r="X29" s="129"/>
    </row>
    <row r="31" spans="2:24" ht="19.8" customHeight="1" x14ac:dyDescent="0.3">
      <c r="D31" s="141" t="s">
        <v>111</v>
      </c>
      <c r="E31" s="141"/>
      <c r="I31" s="118">
        <f>Kalkulasi!C4</f>
        <v>0</v>
      </c>
      <c r="J31" s="119"/>
      <c r="K31" s="119" t="s">
        <v>101</v>
      </c>
      <c r="L31" s="119"/>
      <c r="M31" s="141" t="s">
        <v>114</v>
      </c>
      <c r="N31" s="141"/>
      <c r="R31" s="141" t="s">
        <v>113</v>
      </c>
      <c r="S31" s="141"/>
      <c r="W31" s="153" t="s">
        <v>200</v>
      </c>
      <c r="X31" s="154"/>
    </row>
    <row r="32" spans="2:24" ht="19.8" customHeight="1" x14ac:dyDescent="0.3">
      <c r="B32" s="118">
        <f>Kalkulasi!E4</f>
        <v>0</v>
      </c>
      <c r="C32" s="118"/>
      <c r="D32" s="119" t="s">
        <v>98</v>
      </c>
      <c r="E32" s="119"/>
      <c r="I32" s="118">
        <f>Kalkulasi!C7</f>
        <v>0</v>
      </c>
      <c r="J32" s="119"/>
      <c r="K32" s="119" t="s">
        <v>102</v>
      </c>
      <c r="L32" s="119"/>
      <c r="P32" s="118">
        <f>Kalkulasi!F4</f>
        <v>0</v>
      </c>
      <c r="Q32" s="118"/>
      <c r="R32" s="119" t="s">
        <v>107</v>
      </c>
      <c r="S32" s="119"/>
      <c r="W32" s="155"/>
      <c r="X32" s="156"/>
    </row>
    <row r="33" spans="2:24" ht="19.8" customHeight="1" x14ac:dyDescent="0.3">
      <c r="B33" s="118">
        <f>Kalkulasi!E7</f>
        <v>0</v>
      </c>
      <c r="C33" s="118"/>
      <c r="D33" s="119" t="s">
        <v>99</v>
      </c>
      <c r="E33" s="119"/>
      <c r="I33" s="118">
        <f>Kalkulasi!C10</f>
        <v>0</v>
      </c>
      <c r="J33" s="119"/>
      <c r="K33" s="119" t="s">
        <v>103</v>
      </c>
      <c r="L33" s="119"/>
      <c r="P33" s="118">
        <f>Kalkulasi!F7</f>
        <v>0</v>
      </c>
      <c r="Q33" s="118"/>
      <c r="R33" s="119" t="s">
        <v>108</v>
      </c>
      <c r="S33" s="119"/>
      <c r="W33" s="130">
        <f ca="1">Kalkulasi!D16</f>
        <v>0</v>
      </c>
      <c r="X33" s="131"/>
    </row>
    <row r="34" spans="2:24" ht="19.8" customHeight="1" x14ac:dyDescent="0.3">
      <c r="B34" s="118">
        <f>Kalkulasi!E10</f>
        <v>0</v>
      </c>
      <c r="C34" s="118"/>
      <c r="D34" s="119" t="s">
        <v>191</v>
      </c>
      <c r="E34" s="119"/>
      <c r="I34" s="118">
        <f>Kalkulasi!C13</f>
        <v>0</v>
      </c>
      <c r="J34" s="119"/>
      <c r="K34" s="119" t="s">
        <v>104</v>
      </c>
      <c r="L34" s="119"/>
      <c r="P34" s="118">
        <f>Kalkulasi!F10</f>
        <v>0</v>
      </c>
      <c r="Q34" s="118"/>
      <c r="R34" s="119" t="s">
        <v>192</v>
      </c>
      <c r="S34" s="119"/>
      <c r="W34" s="132"/>
      <c r="X34" s="133"/>
    </row>
    <row r="35" spans="2:24" ht="19.8" customHeight="1" x14ac:dyDescent="0.3">
      <c r="B35" s="118">
        <f>Kalkulasi!E13</f>
        <v>0</v>
      </c>
      <c r="C35" s="119"/>
      <c r="D35" s="119" t="s">
        <v>100</v>
      </c>
      <c r="E35" s="119"/>
      <c r="I35" s="118">
        <f>Kalkulasi!C16</f>
        <v>0</v>
      </c>
      <c r="J35" s="119"/>
      <c r="K35" s="119" t="s">
        <v>105</v>
      </c>
      <c r="L35" s="119"/>
      <c r="P35" s="118">
        <f>Kalkulasi!F13</f>
        <v>0</v>
      </c>
      <c r="Q35" s="119"/>
      <c r="R35" s="119" t="s">
        <v>109</v>
      </c>
      <c r="S35" s="119"/>
    </row>
    <row r="36" spans="2:24" ht="19.8" customHeight="1" x14ac:dyDescent="0.3">
      <c r="I36" s="118"/>
      <c r="J36" s="119"/>
      <c r="K36" s="119"/>
      <c r="L36" s="119"/>
    </row>
    <row r="44" spans="2:24" ht="19.8" customHeight="1" x14ac:dyDescent="0.3">
      <c r="B44" s="142" t="s">
        <v>37</v>
      </c>
      <c r="C44" s="143"/>
      <c r="D44" s="143"/>
      <c r="E44" s="143"/>
      <c r="F44" s="143"/>
      <c r="G44" s="144"/>
      <c r="I44" s="137" t="s">
        <v>49</v>
      </c>
      <c r="J44" s="137"/>
      <c r="K44" s="137"/>
      <c r="L44" s="137"/>
      <c r="M44" s="137"/>
      <c r="N44" s="137"/>
      <c r="P44" s="137" t="s">
        <v>50</v>
      </c>
      <c r="Q44" s="137"/>
      <c r="R44" s="137"/>
      <c r="S44" s="137"/>
      <c r="T44" s="137"/>
      <c r="U44" s="137"/>
      <c r="V44" s="137"/>
      <c r="W44" s="137"/>
    </row>
    <row r="45" spans="2:24" ht="19.8" customHeight="1" x14ac:dyDescent="0.3">
      <c r="B45" s="145"/>
      <c r="C45" s="146"/>
      <c r="D45" s="146"/>
      <c r="E45" s="146"/>
      <c r="F45" s="146"/>
      <c r="G45" s="147"/>
      <c r="I45" s="137"/>
      <c r="J45" s="137"/>
      <c r="K45" s="137"/>
      <c r="L45" s="137"/>
      <c r="M45" s="137"/>
      <c r="N45" s="137"/>
      <c r="P45" s="137"/>
      <c r="Q45" s="137"/>
      <c r="R45" s="137"/>
      <c r="S45" s="137"/>
      <c r="T45" s="137"/>
      <c r="U45" s="137"/>
      <c r="V45" s="137"/>
      <c r="W45" s="137"/>
    </row>
    <row r="46" spans="2:24" ht="19.8" customHeight="1" x14ac:dyDescent="0.3">
      <c r="B46" s="6"/>
      <c r="C46" s="6"/>
      <c r="D46" s="6"/>
      <c r="E46" s="6"/>
      <c r="F46" s="6"/>
    </row>
    <row r="47" spans="2:24" ht="19.8" customHeight="1" x14ac:dyDescent="0.3">
      <c r="B47" s="138" t="s">
        <v>38</v>
      </c>
      <c r="C47" s="139"/>
      <c r="D47" s="140"/>
      <c r="E47" s="138" t="s">
        <v>39</v>
      </c>
      <c r="F47" s="139"/>
      <c r="G47" s="140"/>
      <c r="I47" s="79" t="s">
        <v>32</v>
      </c>
      <c r="J47" s="81"/>
      <c r="K47" s="124">
        <f>Kalkulasi!H4</f>
        <v>0</v>
      </c>
      <c r="L47" s="125"/>
      <c r="M47" s="125"/>
      <c r="N47" s="126"/>
      <c r="O47" s="6"/>
      <c r="P47" s="79" t="s">
        <v>32</v>
      </c>
      <c r="Q47" s="81"/>
      <c r="R47" s="124">
        <f>Kalkulasi!J4</f>
        <v>0</v>
      </c>
      <c r="S47" s="125"/>
      <c r="T47" s="125"/>
      <c r="U47" s="126"/>
      <c r="V47" s="120">
        <v>0.4</v>
      </c>
      <c r="W47" s="121"/>
    </row>
    <row r="48" spans="2:24" ht="19.8" customHeight="1" x14ac:dyDescent="0.3">
      <c r="B48" s="134">
        <v>45962</v>
      </c>
      <c r="C48" s="135"/>
      <c r="D48" s="136"/>
      <c r="E48" s="134">
        <v>45968</v>
      </c>
      <c r="F48" s="135"/>
      <c r="G48" s="136"/>
      <c r="I48" s="76"/>
      <c r="J48" s="78"/>
      <c r="K48" s="127"/>
      <c r="L48" s="128"/>
      <c r="M48" s="128"/>
      <c r="N48" s="129"/>
      <c r="O48" s="6"/>
      <c r="P48" s="76"/>
      <c r="Q48" s="78"/>
      <c r="R48" s="127"/>
      <c r="S48" s="128"/>
      <c r="T48" s="128"/>
      <c r="U48" s="129"/>
      <c r="V48" s="122"/>
      <c r="W48" s="123"/>
    </row>
    <row r="49" spans="2:23" ht="19.8" customHeight="1" x14ac:dyDescent="0.3">
      <c r="B49" s="134">
        <v>45969</v>
      </c>
      <c r="C49" s="135"/>
      <c r="D49" s="136"/>
      <c r="E49" s="134">
        <v>45975</v>
      </c>
      <c r="F49" s="135"/>
      <c r="G49" s="136"/>
      <c r="I49" s="79" t="s">
        <v>51</v>
      </c>
      <c r="J49" s="81"/>
      <c r="K49" s="124">
        <f>Kalkulasi!H7</f>
        <v>0</v>
      </c>
      <c r="L49" s="125"/>
      <c r="M49" s="125"/>
      <c r="N49" s="126"/>
      <c r="O49" s="6"/>
      <c r="P49" s="79" t="s">
        <v>51</v>
      </c>
      <c r="Q49" s="81"/>
      <c r="R49" s="124">
        <f>Kalkulasi!J7</f>
        <v>0</v>
      </c>
      <c r="S49" s="125"/>
      <c r="T49" s="125"/>
      <c r="U49" s="126"/>
      <c r="V49" s="120">
        <v>0.55000000000000004</v>
      </c>
      <c r="W49" s="121"/>
    </row>
    <row r="50" spans="2:23" ht="19.8" customHeight="1" x14ac:dyDescent="0.3">
      <c r="B50" s="134">
        <v>45976</v>
      </c>
      <c r="C50" s="135"/>
      <c r="D50" s="136"/>
      <c r="E50" s="134">
        <v>45982</v>
      </c>
      <c r="F50" s="135"/>
      <c r="G50" s="136"/>
      <c r="I50" s="76"/>
      <c r="J50" s="78"/>
      <c r="K50" s="127"/>
      <c r="L50" s="128"/>
      <c r="M50" s="128"/>
      <c r="N50" s="129"/>
      <c r="O50" s="6"/>
      <c r="P50" s="76"/>
      <c r="Q50" s="78"/>
      <c r="R50" s="127"/>
      <c r="S50" s="128"/>
      <c r="T50" s="128"/>
      <c r="U50" s="129"/>
      <c r="V50" s="122"/>
      <c r="W50" s="123"/>
    </row>
    <row r="51" spans="2:23" ht="19.8" customHeight="1" x14ac:dyDescent="0.3">
      <c r="B51" s="134">
        <v>45983</v>
      </c>
      <c r="C51" s="135"/>
      <c r="D51" s="136"/>
      <c r="E51" s="134">
        <v>45989</v>
      </c>
      <c r="F51" s="135"/>
      <c r="G51" s="136"/>
      <c r="I51" s="79" t="s">
        <v>190</v>
      </c>
      <c r="J51" s="81"/>
      <c r="K51" s="124">
        <f>Kalkulasi!H10</f>
        <v>0</v>
      </c>
      <c r="L51" s="125"/>
      <c r="M51" s="125"/>
      <c r="N51" s="126"/>
      <c r="O51" s="6"/>
      <c r="P51" s="79" t="s">
        <v>190</v>
      </c>
      <c r="Q51" s="81"/>
      <c r="R51" s="124">
        <f>Kalkulasi!J10</f>
        <v>0</v>
      </c>
      <c r="S51" s="125"/>
      <c r="T51" s="125"/>
      <c r="U51" s="126"/>
      <c r="V51" s="120">
        <v>0.05</v>
      </c>
      <c r="W51" s="121"/>
    </row>
    <row r="52" spans="2:23" ht="19.8" customHeight="1" x14ac:dyDescent="0.3">
      <c r="B52" s="134">
        <v>45990</v>
      </c>
      <c r="C52" s="135"/>
      <c r="D52" s="136"/>
      <c r="E52" s="134">
        <v>45991</v>
      </c>
      <c r="F52" s="135"/>
      <c r="G52" s="136"/>
      <c r="I52" s="76"/>
      <c r="J52" s="78"/>
      <c r="K52" s="127"/>
      <c r="L52" s="128"/>
      <c r="M52" s="128"/>
      <c r="N52" s="129"/>
      <c r="O52" s="6"/>
      <c r="P52" s="76"/>
      <c r="Q52" s="78"/>
      <c r="R52" s="127"/>
      <c r="S52" s="128"/>
      <c r="T52" s="128"/>
      <c r="U52" s="129"/>
      <c r="V52" s="122"/>
      <c r="W52" s="123"/>
    </row>
  </sheetData>
  <mergeCells count="130">
    <mergeCell ref="W31:X32"/>
    <mergeCell ref="W23:X24"/>
    <mergeCell ref="W26:X27"/>
    <mergeCell ref="W28:X29"/>
    <mergeCell ref="K16:N17"/>
    <mergeCell ref="P15:Q16"/>
    <mergeCell ref="K20:L20"/>
    <mergeCell ref="K19:L19"/>
    <mergeCell ref="K21:L21"/>
    <mergeCell ref="K32:L32"/>
    <mergeCell ref="D12:G13"/>
    <mergeCell ref="B22:C22"/>
    <mergeCell ref="D22:E22"/>
    <mergeCell ref="P22:Q22"/>
    <mergeCell ref="R22:S22"/>
    <mergeCell ref="D23:E23"/>
    <mergeCell ref="D21:E21"/>
    <mergeCell ref="D20:E20"/>
    <mergeCell ref="W18:X19"/>
    <mergeCell ref="W16:X17"/>
    <mergeCell ref="W21:X22"/>
    <mergeCell ref="W13:X14"/>
    <mergeCell ref="W11:X12"/>
    <mergeCell ref="B20:C20"/>
    <mergeCell ref="I21:J21"/>
    <mergeCell ref="I20:J20"/>
    <mergeCell ref="B23:C23"/>
    <mergeCell ref="B21:C21"/>
    <mergeCell ref="W8:X9"/>
    <mergeCell ref="W6:X7"/>
    <mergeCell ref="B6:G7"/>
    <mergeCell ref="B9:C10"/>
    <mergeCell ref="D9:G10"/>
    <mergeCell ref="I8:J9"/>
    <mergeCell ref="I10:J11"/>
    <mergeCell ref="I6:N7"/>
    <mergeCell ref="K14:N15"/>
    <mergeCell ref="K12:N13"/>
    <mergeCell ref="K10:N11"/>
    <mergeCell ref="K8:N9"/>
    <mergeCell ref="P6:U7"/>
    <mergeCell ref="D15:G16"/>
    <mergeCell ref="P12:Q13"/>
    <mergeCell ref="P9:Q10"/>
    <mergeCell ref="R15:U16"/>
    <mergeCell ref="R12:U13"/>
    <mergeCell ref="R9:U10"/>
    <mergeCell ref="B15:C16"/>
    <mergeCell ref="B12:C13"/>
    <mergeCell ref="I12:J13"/>
    <mergeCell ref="I14:J15"/>
    <mergeCell ref="I16:J17"/>
    <mergeCell ref="B32:C32"/>
    <mergeCell ref="D32:E32"/>
    <mergeCell ref="B33:C33"/>
    <mergeCell ref="D33:E33"/>
    <mergeCell ref="B35:C35"/>
    <mergeCell ref="D35:E35"/>
    <mergeCell ref="P32:Q32"/>
    <mergeCell ref="R32:S32"/>
    <mergeCell ref="P33:Q33"/>
    <mergeCell ref="R33:S33"/>
    <mergeCell ref="B34:C34"/>
    <mergeCell ref="D34:E34"/>
    <mergeCell ref="P34:Q34"/>
    <mergeCell ref="R34:S34"/>
    <mergeCell ref="I33:J33"/>
    <mergeCell ref="K33:L33"/>
    <mergeCell ref="I34:J34"/>
    <mergeCell ref="K34:L34"/>
    <mergeCell ref="I35:J35"/>
    <mergeCell ref="K35:L35"/>
    <mergeCell ref="I31:J31"/>
    <mergeCell ref="K31:L31"/>
    <mergeCell ref="M31:N31"/>
    <mergeCell ref="I32:J32"/>
    <mergeCell ref="B44:G45"/>
    <mergeCell ref="B2:X4"/>
    <mergeCell ref="R19:S19"/>
    <mergeCell ref="R31:S31"/>
    <mergeCell ref="D31:E31"/>
    <mergeCell ref="D19:E19"/>
    <mergeCell ref="M19:N19"/>
    <mergeCell ref="P20:Q20"/>
    <mergeCell ref="R20:S20"/>
    <mergeCell ref="P21:Q21"/>
    <mergeCell ref="R21:S21"/>
    <mergeCell ref="P23:Q23"/>
    <mergeCell ref="R23:S23"/>
    <mergeCell ref="I19:J19"/>
    <mergeCell ref="K23:L23"/>
    <mergeCell ref="K24:L24"/>
    <mergeCell ref="K22:L22"/>
    <mergeCell ref="I24:J24"/>
    <mergeCell ref="I23:J23"/>
    <mergeCell ref="I22:J22"/>
    <mergeCell ref="B52:D52"/>
    <mergeCell ref="B51:D51"/>
    <mergeCell ref="V49:W50"/>
    <mergeCell ref="V47:W48"/>
    <mergeCell ref="P44:W45"/>
    <mergeCell ref="I49:J50"/>
    <mergeCell ref="K49:N50"/>
    <mergeCell ref="P49:Q50"/>
    <mergeCell ref="R49:U50"/>
    <mergeCell ref="K47:N48"/>
    <mergeCell ref="I47:J48"/>
    <mergeCell ref="R47:U48"/>
    <mergeCell ref="P47:Q48"/>
    <mergeCell ref="B50:D50"/>
    <mergeCell ref="E50:G50"/>
    <mergeCell ref="I44:N45"/>
    <mergeCell ref="B47:D47"/>
    <mergeCell ref="E47:G47"/>
    <mergeCell ref="B48:D48"/>
    <mergeCell ref="E48:G48"/>
    <mergeCell ref="B49:D49"/>
    <mergeCell ref="E49:G49"/>
    <mergeCell ref="I36:J36"/>
    <mergeCell ref="K36:L36"/>
    <mergeCell ref="V51:W52"/>
    <mergeCell ref="R51:U52"/>
    <mergeCell ref="P51:Q52"/>
    <mergeCell ref="K51:N52"/>
    <mergeCell ref="I51:J52"/>
    <mergeCell ref="W33:X34"/>
    <mergeCell ref="E51:G51"/>
    <mergeCell ref="E52:G52"/>
    <mergeCell ref="P35:Q35"/>
    <mergeCell ref="R35:S35"/>
  </mergeCells>
  <phoneticPr fontId="10" type="noConversion"/>
  <conditionalFormatting sqref="K47">
    <cfRule type="dataBar" priority="7">
      <dataBar>
        <cfvo type="num" val="0"/>
        <cfvo type="formula" val="($D$9+$R$9)*$V$47"/>
        <color rgb="FFFF0000"/>
      </dataBar>
      <extLst>
        <ext xmlns:x14="http://schemas.microsoft.com/office/spreadsheetml/2009/9/main" uri="{B025F937-C7B1-47D3-B67F-A62EFF666E3E}">
          <x14:id>{49DEE327-4227-480A-9056-CAF53F20A41F}</x14:id>
        </ext>
      </extLst>
    </cfRule>
  </conditionalFormatting>
  <conditionalFormatting sqref="K49">
    <cfRule type="dataBar" priority="5">
      <dataBar>
        <cfvo type="num" val="0"/>
        <cfvo type="formula" val="($D$9+$R$9)*$V$49"/>
        <color rgb="FF00B050"/>
      </dataBar>
      <extLst>
        <ext xmlns:x14="http://schemas.microsoft.com/office/spreadsheetml/2009/9/main" uri="{B025F937-C7B1-47D3-B67F-A62EFF666E3E}">
          <x14:id>{5AFB2C03-E6B1-4FDE-A886-977231F8FFFC}</x14:id>
        </ext>
      </extLst>
    </cfRule>
  </conditionalFormatting>
  <conditionalFormatting sqref="K51">
    <cfRule type="dataBar" priority="6">
      <dataBar>
        <cfvo type="num" val="0"/>
        <cfvo type="formula" val="($D$9+$R$9)*$V$51"/>
        <color rgb="FFFFC000"/>
      </dataBar>
      <extLst>
        <ext xmlns:x14="http://schemas.microsoft.com/office/spreadsheetml/2009/9/main" uri="{B025F937-C7B1-47D3-B67F-A62EFF666E3E}">
          <x14:id>{C6283EBC-75A3-477E-A3B5-26043E0E86FB}</x14:id>
        </ext>
      </extLst>
    </cfRule>
  </conditionalFormatting>
  <conditionalFormatting sqref="W33:X34">
    <cfRule type="cellIs" dxfId="94" priority="1" operator="lessThanOrEqual">
      <formula>W18</formula>
    </cfRule>
    <cfRule type="cellIs" dxfId="93" priority="2" operator="greaterThan">
      <formula>W18</formula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9DEE327-4227-480A-9056-CAF53F20A41F}">
            <x14:dataBar minLength="0" maxLength="100" gradient="0">
              <x14:cfvo type="num">
                <xm:f>0</xm:f>
              </x14:cfvo>
              <x14:cfvo type="formula">
                <xm:f>($D$9+$R$9)*$V$47</xm:f>
              </x14:cfvo>
              <x14:negativeFillColor rgb="FFFF0000"/>
              <x14:axisColor rgb="FF000000"/>
            </x14:dataBar>
          </x14:cfRule>
          <xm:sqref>K47</xm:sqref>
        </x14:conditionalFormatting>
        <x14:conditionalFormatting xmlns:xm="http://schemas.microsoft.com/office/excel/2006/main">
          <x14:cfRule type="dataBar" id="{5AFB2C03-E6B1-4FDE-A886-977231F8FFFC}">
            <x14:dataBar minLength="0" maxLength="100" gradient="0">
              <x14:cfvo type="num">
                <xm:f>0</xm:f>
              </x14:cfvo>
              <x14:cfvo type="formula">
                <xm:f>($D$9+$R$9)*$V$49</xm:f>
              </x14:cfvo>
              <x14:negativeFillColor rgb="FFFF0000"/>
              <x14:axisColor rgb="FF000000"/>
            </x14:dataBar>
          </x14:cfRule>
          <xm:sqref>K49</xm:sqref>
        </x14:conditionalFormatting>
        <x14:conditionalFormatting xmlns:xm="http://schemas.microsoft.com/office/excel/2006/main">
          <x14:cfRule type="dataBar" id="{C6283EBC-75A3-477E-A3B5-26043E0E86FB}">
            <x14:dataBar minLength="0" maxLength="100" gradient="0">
              <x14:cfvo type="num">
                <xm:f>0</xm:f>
              </x14:cfvo>
              <x14:cfvo type="formula">
                <xm:f>($D$9+$R$9)*$V$51</xm:f>
              </x14:cfvo>
              <x14:negativeFillColor rgb="FFFF0000"/>
              <x14:axisColor rgb="FF000000"/>
            </x14:dataBar>
          </x14:cfRule>
          <xm:sqref>K51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ADCEF-0E0B-40A0-A655-44B0E6975E25}">
  <dimension ref="B2:Q129"/>
  <sheetViews>
    <sheetView topLeftCell="A6" zoomScale="90" zoomScaleNormal="90" workbookViewId="0">
      <selection activeCell="P12" sqref="P12"/>
    </sheetView>
  </sheetViews>
  <sheetFormatPr defaultRowHeight="14.4" customHeight="1" x14ac:dyDescent="0.3"/>
  <cols>
    <col min="1" max="1" width="3.77734375" customWidth="1"/>
    <col min="2" max="2" width="5.6640625" customWidth="1"/>
    <col min="3" max="4" width="20.5546875" customWidth="1"/>
    <col min="5" max="6" width="12.77734375" customWidth="1"/>
    <col min="7" max="7" width="15.5546875" customWidth="1"/>
    <col min="8" max="8" width="17.5546875" customWidth="1"/>
    <col min="9" max="9" width="3.77734375" customWidth="1"/>
    <col min="10" max="10" width="5.6640625" customWidth="1"/>
    <col min="11" max="12" width="20.5546875" customWidth="1"/>
    <col min="13" max="14" width="12.77734375" customWidth="1"/>
    <col min="15" max="15" width="15.5546875" customWidth="1"/>
    <col min="16" max="16" width="17.5546875" customWidth="1"/>
  </cols>
  <sheetData>
    <row r="2" spans="2:17" ht="14.4" customHeight="1" x14ac:dyDescent="0.3">
      <c r="B2" s="64" t="s">
        <v>31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6"/>
    </row>
    <row r="3" spans="2:17" ht="14.4" customHeight="1" x14ac:dyDescent="0.3">
      <c r="B3" s="67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9"/>
    </row>
    <row r="4" spans="2:17" ht="14.4" customHeight="1" x14ac:dyDescent="0.3">
      <c r="B4" s="70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2"/>
    </row>
    <row r="6" spans="2:17" ht="14.4" customHeight="1" x14ac:dyDescent="0.3">
      <c r="B6" s="137" t="s">
        <v>32</v>
      </c>
      <c r="C6" s="137"/>
      <c r="D6" s="137"/>
      <c r="E6" s="137"/>
      <c r="F6" s="137"/>
      <c r="G6" s="137"/>
      <c r="H6" s="137"/>
      <c r="J6" s="137" t="s">
        <v>34</v>
      </c>
      <c r="K6" s="137"/>
      <c r="L6" s="137"/>
      <c r="M6" s="137"/>
      <c r="N6" s="137"/>
      <c r="O6" s="137"/>
      <c r="P6" s="137"/>
    </row>
    <row r="7" spans="2:17" ht="14.4" customHeight="1" x14ac:dyDescent="0.3">
      <c r="B7" s="137"/>
      <c r="C7" s="137"/>
      <c r="D7" s="137"/>
      <c r="E7" s="137"/>
      <c r="F7" s="137"/>
      <c r="G7" s="137"/>
      <c r="H7" s="137"/>
      <c r="J7" s="137"/>
      <c r="K7" s="137"/>
      <c r="L7" s="137"/>
      <c r="M7" s="137"/>
      <c r="N7" s="137"/>
      <c r="O7" s="137"/>
      <c r="P7" s="137"/>
    </row>
    <row r="8" spans="2:17" ht="14.4" customHeight="1" x14ac:dyDescent="0.3">
      <c r="B8" s="7" t="s">
        <v>0</v>
      </c>
      <c r="C8" s="7" t="s">
        <v>1</v>
      </c>
      <c r="D8" s="7" t="s">
        <v>2</v>
      </c>
      <c r="E8" s="7" t="s">
        <v>33</v>
      </c>
      <c r="F8" s="7" t="s">
        <v>3</v>
      </c>
      <c r="G8" s="7" t="s">
        <v>4</v>
      </c>
      <c r="H8" s="7" t="s">
        <v>5</v>
      </c>
      <c r="J8" s="7" t="s">
        <v>0</v>
      </c>
      <c r="K8" s="7" t="s">
        <v>1</v>
      </c>
      <c r="L8" s="7" t="s">
        <v>2</v>
      </c>
      <c r="M8" s="7" t="s">
        <v>33</v>
      </c>
      <c r="N8" s="7" t="s">
        <v>3</v>
      </c>
      <c r="O8" s="7" t="s">
        <v>4</v>
      </c>
      <c r="P8" s="7" t="s">
        <v>5</v>
      </c>
    </row>
    <row r="9" spans="2:17" ht="14.4" customHeight="1" x14ac:dyDescent="0.3">
      <c r="B9" s="1">
        <v>1</v>
      </c>
      <c r="C9" s="7" t="s">
        <v>197</v>
      </c>
      <c r="D9" s="7" t="s">
        <v>9</v>
      </c>
      <c r="E9" s="7" t="s">
        <v>9</v>
      </c>
      <c r="F9" s="12"/>
      <c r="G9" s="27"/>
      <c r="H9" s="13">
        <f>Kalkulasi!A23</f>
        <v>0</v>
      </c>
      <c r="J9" s="2">
        <v>1</v>
      </c>
      <c r="K9" s="7" t="s">
        <v>197</v>
      </c>
      <c r="L9" s="8" t="s">
        <v>9</v>
      </c>
      <c r="M9" s="8" t="s">
        <v>9</v>
      </c>
      <c r="N9" s="2"/>
      <c r="O9" s="11"/>
      <c r="P9" s="11">
        <f>Kalkulasi!A26</f>
        <v>0</v>
      </c>
    </row>
    <row r="10" spans="2:17" ht="14.4" customHeight="1" x14ac:dyDescent="0.3">
      <c r="B10" s="1">
        <v>2</v>
      </c>
      <c r="C10" s="7" t="s">
        <v>197</v>
      </c>
      <c r="D10" s="7" t="s">
        <v>9</v>
      </c>
      <c r="E10" s="7" t="s">
        <v>9</v>
      </c>
      <c r="F10" s="12"/>
      <c r="G10" s="27"/>
      <c r="H10" s="14"/>
      <c r="J10" s="2">
        <v>2</v>
      </c>
      <c r="K10" s="7" t="s">
        <v>197</v>
      </c>
      <c r="L10" s="8" t="s">
        <v>9</v>
      </c>
      <c r="M10" s="8" t="s">
        <v>9</v>
      </c>
      <c r="N10" s="2"/>
      <c r="O10" s="11"/>
      <c r="P10" s="10"/>
    </row>
    <row r="11" spans="2:17" ht="14.4" customHeight="1" x14ac:dyDescent="0.3">
      <c r="B11" s="1">
        <v>3</v>
      </c>
      <c r="C11" s="7" t="s">
        <v>197</v>
      </c>
      <c r="D11" s="7" t="s">
        <v>9</v>
      </c>
      <c r="E11" s="7" t="s">
        <v>9</v>
      </c>
      <c r="F11" s="12"/>
      <c r="G11" s="27"/>
      <c r="H11" s="16"/>
      <c r="J11" s="2">
        <v>3</v>
      </c>
      <c r="K11" s="7" t="s">
        <v>197</v>
      </c>
      <c r="L11" s="8" t="s">
        <v>9</v>
      </c>
      <c r="M11" s="8" t="s">
        <v>9</v>
      </c>
      <c r="N11" s="2"/>
      <c r="O11" s="11"/>
      <c r="P11" s="10"/>
    </row>
    <row r="12" spans="2:17" ht="14.4" customHeight="1" x14ac:dyDescent="0.3">
      <c r="B12" s="1">
        <v>4</v>
      </c>
      <c r="C12" s="7" t="s">
        <v>197</v>
      </c>
      <c r="D12" s="7" t="s">
        <v>9</v>
      </c>
      <c r="E12" s="7" t="s">
        <v>9</v>
      </c>
      <c r="F12" s="12"/>
      <c r="G12" s="27"/>
      <c r="H12" s="17"/>
      <c r="J12" s="2">
        <v>4</v>
      </c>
      <c r="K12" s="7" t="s">
        <v>197</v>
      </c>
      <c r="L12" s="8" t="s">
        <v>9</v>
      </c>
      <c r="M12" s="8" t="s">
        <v>9</v>
      </c>
      <c r="N12" s="2"/>
      <c r="O12" s="11"/>
      <c r="P12" s="10"/>
    </row>
    <row r="13" spans="2:17" ht="14.4" customHeight="1" x14ac:dyDescent="0.3">
      <c r="B13" s="1">
        <v>5</v>
      </c>
      <c r="C13" s="7" t="s">
        <v>197</v>
      </c>
      <c r="D13" s="7" t="s">
        <v>9</v>
      </c>
      <c r="E13" s="7" t="s">
        <v>9</v>
      </c>
      <c r="F13" s="12"/>
      <c r="G13" s="27"/>
      <c r="H13" s="14"/>
      <c r="J13" s="2">
        <v>5</v>
      </c>
      <c r="K13" s="7" t="s">
        <v>197</v>
      </c>
      <c r="L13" s="8" t="s">
        <v>9</v>
      </c>
      <c r="M13" s="8" t="s">
        <v>9</v>
      </c>
      <c r="N13" s="2"/>
      <c r="O13" s="11"/>
      <c r="P13" s="26"/>
    </row>
    <row r="14" spans="2:17" ht="14.4" customHeight="1" x14ac:dyDescent="0.3">
      <c r="B14" s="1">
        <v>6</v>
      </c>
      <c r="C14" s="7" t="s">
        <v>197</v>
      </c>
      <c r="D14" s="7" t="s">
        <v>9</v>
      </c>
      <c r="E14" s="7" t="s">
        <v>9</v>
      </c>
      <c r="F14" s="12"/>
      <c r="G14" s="27"/>
      <c r="H14" s="14"/>
      <c r="J14" s="2">
        <v>6</v>
      </c>
      <c r="K14" s="7" t="s">
        <v>197</v>
      </c>
      <c r="L14" s="8" t="s">
        <v>9</v>
      </c>
      <c r="M14" s="8" t="s">
        <v>9</v>
      </c>
      <c r="N14" s="2"/>
      <c r="O14" s="11"/>
      <c r="Q14" s="10"/>
    </row>
    <row r="15" spans="2:17" ht="14.4" customHeight="1" x14ac:dyDescent="0.3">
      <c r="B15" s="1">
        <v>7</v>
      </c>
      <c r="C15" s="7" t="s">
        <v>197</v>
      </c>
      <c r="D15" s="7" t="s">
        <v>9</v>
      </c>
      <c r="E15" s="7" t="s">
        <v>9</v>
      </c>
      <c r="F15" s="12"/>
      <c r="G15" s="27"/>
      <c r="H15" s="14"/>
      <c r="J15" s="2">
        <v>7</v>
      </c>
      <c r="K15" s="7" t="s">
        <v>197</v>
      </c>
      <c r="L15" s="8" t="s">
        <v>9</v>
      </c>
      <c r="M15" s="8" t="s">
        <v>9</v>
      </c>
      <c r="N15" s="2"/>
      <c r="O15" s="11"/>
      <c r="P15" s="10"/>
    </row>
    <row r="16" spans="2:17" ht="14.4" customHeight="1" x14ac:dyDescent="0.3">
      <c r="B16" s="1">
        <v>8</v>
      </c>
      <c r="C16" s="7" t="s">
        <v>197</v>
      </c>
      <c r="D16" s="7" t="s">
        <v>9</v>
      </c>
      <c r="E16" s="7" t="s">
        <v>9</v>
      </c>
      <c r="F16" s="12"/>
      <c r="G16" s="27"/>
      <c r="H16" s="14"/>
      <c r="J16" s="2">
        <v>8</v>
      </c>
      <c r="K16" s="7" t="s">
        <v>197</v>
      </c>
      <c r="L16" s="8" t="s">
        <v>9</v>
      </c>
      <c r="M16" s="8" t="s">
        <v>9</v>
      </c>
      <c r="N16" s="2"/>
      <c r="O16" s="11"/>
      <c r="P16" s="10"/>
    </row>
    <row r="17" spans="2:16" ht="14.4" customHeight="1" x14ac:dyDescent="0.3">
      <c r="B17" s="1">
        <v>9</v>
      </c>
      <c r="C17" s="7" t="s">
        <v>197</v>
      </c>
      <c r="D17" s="7" t="s">
        <v>9</v>
      </c>
      <c r="E17" s="7" t="s">
        <v>9</v>
      </c>
      <c r="F17" s="12"/>
      <c r="G17" s="27"/>
      <c r="H17" s="14"/>
      <c r="J17" s="2">
        <v>9</v>
      </c>
      <c r="K17" s="7" t="s">
        <v>197</v>
      </c>
      <c r="L17" s="8" t="s">
        <v>9</v>
      </c>
      <c r="M17" s="8" t="s">
        <v>9</v>
      </c>
      <c r="N17" s="2"/>
      <c r="O17" s="11"/>
      <c r="P17" s="10"/>
    </row>
    <row r="18" spans="2:16" ht="14.4" customHeight="1" x14ac:dyDescent="0.3">
      <c r="B18" s="1">
        <v>10</v>
      </c>
      <c r="C18" s="7" t="s">
        <v>197</v>
      </c>
      <c r="D18" s="7" t="s">
        <v>9</v>
      </c>
      <c r="E18" s="7" t="s">
        <v>9</v>
      </c>
      <c r="F18" s="12"/>
      <c r="G18" s="27"/>
      <c r="H18" s="14"/>
      <c r="J18" s="2">
        <v>10</v>
      </c>
      <c r="K18" s="7" t="s">
        <v>197</v>
      </c>
      <c r="L18" s="8" t="s">
        <v>9</v>
      </c>
      <c r="M18" s="8" t="s">
        <v>9</v>
      </c>
      <c r="N18" s="2"/>
      <c r="O18" s="11"/>
      <c r="P18" s="10"/>
    </row>
    <row r="19" spans="2:16" ht="14.4" customHeight="1" x14ac:dyDescent="0.3">
      <c r="B19" s="1">
        <v>11</v>
      </c>
      <c r="C19" s="7" t="s">
        <v>197</v>
      </c>
      <c r="D19" s="7" t="s">
        <v>9</v>
      </c>
      <c r="E19" s="7" t="s">
        <v>9</v>
      </c>
      <c r="F19" s="12"/>
      <c r="G19" s="27"/>
      <c r="H19" s="14"/>
      <c r="J19" s="2">
        <v>11</v>
      </c>
      <c r="K19" s="7" t="s">
        <v>197</v>
      </c>
      <c r="L19" s="8" t="s">
        <v>9</v>
      </c>
      <c r="M19" s="8" t="s">
        <v>9</v>
      </c>
      <c r="N19" s="2"/>
      <c r="O19" s="11"/>
      <c r="P19" s="10"/>
    </row>
    <row r="20" spans="2:16" ht="14.4" customHeight="1" x14ac:dyDescent="0.3">
      <c r="B20" s="1">
        <v>12</v>
      </c>
      <c r="C20" s="7" t="s">
        <v>197</v>
      </c>
      <c r="D20" s="7" t="s">
        <v>9</v>
      </c>
      <c r="E20" s="7" t="s">
        <v>9</v>
      </c>
      <c r="F20" s="12"/>
      <c r="G20" s="27"/>
      <c r="H20" s="14"/>
      <c r="J20" s="2">
        <v>12</v>
      </c>
      <c r="K20" s="7" t="s">
        <v>197</v>
      </c>
      <c r="L20" s="8" t="s">
        <v>9</v>
      </c>
      <c r="M20" s="8" t="s">
        <v>9</v>
      </c>
      <c r="N20" s="2"/>
      <c r="O20" s="11"/>
      <c r="P20" s="10"/>
    </row>
    <row r="21" spans="2:16" ht="14.4" customHeight="1" x14ac:dyDescent="0.3">
      <c r="B21" s="1">
        <v>13</v>
      </c>
      <c r="C21" s="7" t="s">
        <v>197</v>
      </c>
      <c r="D21" s="7" t="s">
        <v>9</v>
      </c>
      <c r="E21" s="7" t="s">
        <v>9</v>
      </c>
      <c r="F21" s="12"/>
      <c r="G21" s="27"/>
      <c r="H21" s="14"/>
      <c r="J21" s="2">
        <v>13</v>
      </c>
      <c r="K21" s="7" t="s">
        <v>197</v>
      </c>
      <c r="L21" s="8" t="s">
        <v>9</v>
      </c>
      <c r="M21" s="8" t="s">
        <v>9</v>
      </c>
      <c r="N21" s="2"/>
      <c r="O21" s="11"/>
      <c r="P21" s="10"/>
    </row>
    <row r="22" spans="2:16" ht="14.4" customHeight="1" x14ac:dyDescent="0.3">
      <c r="B22" s="1">
        <v>14</v>
      </c>
      <c r="C22" s="7" t="s">
        <v>197</v>
      </c>
      <c r="D22" s="7" t="s">
        <v>9</v>
      </c>
      <c r="E22" s="7" t="s">
        <v>9</v>
      </c>
      <c r="F22" s="12"/>
      <c r="G22" s="27"/>
      <c r="H22" s="14"/>
      <c r="J22" s="2">
        <v>14</v>
      </c>
      <c r="K22" s="7" t="s">
        <v>197</v>
      </c>
      <c r="L22" s="8" t="s">
        <v>9</v>
      </c>
      <c r="M22" s="8" t="s">
        <v>9</v>
      </c>
      <c r="N22" s="2"/>
      <c r="O22" s="11"/>
      <c r="P22" s="10"/>
    </row>
    <row r="23" spans="2:16" ht="14.4" customHeight="1" x14ac:dyDescent="0.3">
      <c r="B23" s="1">
        <v>15</v>
      </c>
      <c r="C23" s="7" t="s">
        <v>197</v>
      </c>
      <c r="D23" s="7" t="s">
        <v>9</v>
      </c>
      <c r="E23" s="7" t="s">
        <v>9</v>
      </c>
      <c r="F23" s="12"/>
      <c r="G23" s="27"/>
      <c r="H23" s="14"/>
      <c r="J23" s="2">
        <v>15</v>
      </c>
      <c r="K23" s="7" t="s">
        <v>197</v>
      </c>
      <c r="L23" s="8" t="s">
        <v>9</v>
      </c>
      <c r="M23" s="8" t="s">
        <v>9</v>
      </c>
      <c r="N23" s="2"/>
      <c r="O23" s="11"/>
      <c r="P23" s="10"/>
    </row>
    <row r="24" spans="2:16" ht="14.4" customHeight="1" x14ac:dyDescent="0.3">
      <c r="B24" s="1">
        <v>16</v>
      </c>
      <c r="C24" s="7" t="s">
        <v>197</v>
      </c>
      <c r="D24" s="7" t="s">
        <v>9</v>
      </c>
      <c r="E24" s="7" t="s">
        <v>9</v>
      </c>
      <c r="F24" s="12"/>
      <c r="G24" s="27"/>
      <c r="H24" s="14"/>
      <c r="J24" s="2">
        <v>16</v>
      </c>
      <c r="K24" s="7" t="s">
        <v>197</v>
      </c>
      <c r="L24" s="8" t="s">
        <v>9</v>
      </c>
      <c r="M24" s="8" t="s">
        <v>9</v>
      </c>
      <c r="N24" s="2"/>
      <c r="O24" s="11"/>
      <c r="P24" s="10"/>
    </row>
    <row r="25" spans="2:16" ht="14.4" customHeight="1" x14ac:dyDescent="0.3">
      <c r="B25" s="1">
        <v>17</v>
      </c>
      <c r="C25" s="7" t="s">
        <v>197</v>
      </c>
      <c r="D25" s="7" t="s">
        <v>9</v>
      </c>
      <c r="E25" s="7" t="s">
        <v>9</v>
      </c>
      <c r="F25" s="12"/>
      <c r="G25" s="27"/>
      <c r="H25" s="14"/>
      <c r="J25" s="2">
        <v>17</v>
      </c>
      <c r="K25" s="7" t="s">
        <v>197</v>
      </c>
      <c r="L25" s="8" t="s">
        <v>9</v>
      </c>
      <c r="M25" s="8" t="s">
        <v>9</v>
      </c>
      <c r="N25" s="2"/>
      <c r="O25" s="11"/>
      <c r="P25" s="10"/>
    </row>
    <row r="26" spans="2:16" ht="14.4" customHeight="1" x14ac:dyDescent="0.3">
      <c r="B26" s="1">
        <v>18</v>
      </c>
      <c r="C26" s="7" t="s">
        <v>197</v>
      </c>
      <c r="D26" s="7" t="s">
        <v>9</v>
      </c>
      <c r="E26" s="7" t="s">
        <v>9</v>
      </c>
      <c r="F26" s="12"/>
      <c r="G26" s="27"/>
      <c r="H26" s="14"/>
      <c r="J26" s="2">
        <v>18</v>
      </c>
      <c r="K26" s="7" t="s">
        <v>197</v>
      </c>
      <c r="L26" s="8" t="s">
        <v>9</v>
      </c>
      <c r="M26" s="8" t="s">
        <v>9</v>
      </c>
      <c r="N26" s="2"/>
      <c r="O26" s="11"/>
      <c r="P26" s="10"/>
    </row>
    <row r="27" spans="2:16" ht="14.4" customHeight="1" x14ac:dyDescent="0.3">
      <c r="B27" s="1">
        <v>19</v>
      </c>
      <c r="C27" s="7" t="s">
        <v>197</v>
      </c>
      <c r="D27" s="7" t="s">
        <v>9</v>
      </c>
      <c r="E27" s="7" t="s">
        <v>9</v>
      </c>
      <c r="F27" s="12"/>
      <c r="G27" s="27"/>
      <c r="H27" s="14"/>
      <c r="J27" s="2">
        <v>19</v>
      </c>
      <c r="K27" s="7" t="s">
        <v>197</v>
      </c>
      <c r="L27" s="8" t="s">
        <v>9</v>
      </c>
      <c r="M27" s="8" t="s">
        <v>9</v>
      </c>
      <c r="N27" s="2"/>
      <c r="O27" s="11"/>
      <c r="P27" s="10"/>
    </row>
    <row r="28" spans="2:16" ht="14.4" customHeight="1" x14ac:dyDescent="0.3">
      <c r="B28" s="1">
        <v>20</v>
      </c>
      <c r="C28" s="7" t="s">
        <v>197</v>
      </c>
      <c r="D28" s="7" t="s">
        <v>9</v>
      </c>
      <c r="E28" s="7" t="s">
        <v>9</v>
      </c>
      <c r="F28" s="12"/>
      <c r="G28" s="27"/>
      <c r="H28" s="14"/>
      <c r="J28" s="2">
        <v>20</v>
      </c>
      <c r="K28" s="7" t="s">
        <v>197</v>
      </c>
      <c r="L28" s="8" t="s">
        <v>9</v>
      </c>
      <c r="M28" s="8" t="s">
        <v>9</v>
      </c>
      <c r="N28" s="2"/>
      <c r="O28" s="11"/>
      <c r="P28" s="10"/>
    </row>
    <row r="29" spans="2:16" ht="14.4" customHeight="1" x14ac:dyDescent="0.3">
      <c r="B29" s="1">
        <v>21</v>
      </c>
      <c r="C29" s="7" t="s">
        <v>197</v>
      </c>
      <c r="D29" s="7" t="s">
        <v>9</v>
      </c>
      <c r="E29" s="7" t="s">
        <v>9</v>
      </c>
      <c r="F29" s="12"/>
      <c r="G29" s="27"/>
      <c r="H29" s="14"/>
      <c r="J29" s="2">
        <v>21</v>
      </c>
      <c r="K29" s="7" t="s">
        <v>197</v>
      </c>
      <c r="L29" s="8" t="s">
        <v>9</v>
      </c>
      <c r="M29" s="8" t="s">
        <v>9</v>
      </c>
      <c r="N29" s="2"/>
      <c r="O29" s="11"/>
      <c r="P29" s="10"/>
    </row>
    <row r="30" spans="2:16" ht="14.4" customHeight="1" x14ac:dyDescent="0.3">
      <c r="B30" s="1">
        <v>22</v>
      </c>
      <c r="C30" s="7" t="s">
        <v>197</v>
      </c>
      <c r="D30" s="7" t="s">
        <v>9</v>
      </c>
      <c r="E30" s="7" t="s">
        <v>9</v>
      </c>
      <c r="F30" s="12"/>
      <c r="G30" s="27"/>
      <c r="H30" s="14"/>
      <c r="J30" s="2">
        <v>22</v>
      </c>
      <c r="K30" s="7" t="s">
        <v>197</v>
      </c>
      <c r="L30" s="8" t="s">
        <v>9</v>
      </c>
      <c r="M30" s="8" t="s">
        <v>9</v>
      </c>
      <c r="N30" s="2"/>
      <c r="O30" s="11"/>
      <c r="P30" s="10"/>
    </row>
    <row r="31" spans="2:16" ht="14.4" customHeight="1" x14ac:dyDescent="0.3">
      <c r="B31" s="1">
        <v>23</v>
      </c>
      <c r="C31" s="7" t="s">
        <v>197</v>
      </c>
      <c r="D31" s="7" t="s">
        <v>9</v>
      </c>
      <c r="E31" s="7" t="s">
        <v>9</v>
      </c>
      <c r="F31" s="12"/>
      <c r="G31" s="27"/>
      <c r="H31" s="14"/>
      <c r="J31" s="2">
        <v>23</v>
      </c>
      <c r="K31" s="7" t="s">
        <v>197</v>
      </c>
      <c r="L31" s="8" t="s">
        <v>9</v>
      </c>
      <c r="M31" s="8" t="s">
        <v>9</v>
      </c>
      <c r="N31" s="2"/>
      <c r="O31" s="11"/>
      <c r="P31" s="10"/>
    </row>
    <row r="32" spans="2:16" ht="14.4" customHeight="1" x14ac:dyDescent="0.3">
      <c r="B32" s="1">
        <v>24</v>
      </c>
      <c r="C32" s="7" t="s">
        <v>197</v>
      </c>
      <c r="D32" s="7" t="s">
        <v>9</v>
      </c>
      <c r="E32" s="7" t="s">
        <v>9</v>
      </c>
      <c r="F32" s="12"/>
      <c r="G32" s="27"/>
      <c r="H32" s="14"/>
      <c r="J32" s="2">
        <v>24</v>
      </c>
      <c r="K32" s="7" t="s">
        <v>197</v>
      </c>
      <c r="L32" s="8" t="s">
        <v>9</v>
      </c>
      <c r="M32" s="8" t="s">
        <v>9</v>
      </c>
      <c r="N32" s="2"/>
      <c r="O32" s="11"/>
      <c r="P32" s="10"/>
    </row>
    <row r="33" spans="2:16" ht="14.4" customHeight="1" x14ac:dyDescent="0.3">
      <c r="B33" s="1">
        <v>25</v>
      </c>
      <c r="C33" s="7" t="s">
        <v>197</v>
      </c>
      <c r="D33" s="7" t="s">
        <v>9</v>
      </c>
      <c r="E33" s="7" t="s">
        <v>9</v>
      </c>
      <c r="F33" s="12"/>
      <c r="G33" s="27"/>
      <c r="H33" s="14"/>
      <c r="J33" s="2">
        <v>25</v>
      </c>
      <c r="K33" s="7" t="s">
        <v>197</v>
      </c>
      <c r="L33" s="8" t="s">
        <v>9</v>
      </c>
      <c r="M33" s="8" t="s">
        <v>9</v>
      </c>
      <c r="N33" s="2"/>
      <c r="O33" s="11"/>
      <c r="P33" s="10"/>
    </row>
    <row r="34" spans="2:16" ht="14.4" customHeight="1" x14ac:dyDescent="0.3">
      <c r="B34" s="1">
        <v>26</v>
      </c>
      <c r="C34" s="7" t="s">
        <v>197</v>
      </c>
      <c r="D34" s="7" t="s">
        <v>9</v>
      </c>
      <c r="E34" s="7" t="s">
        <v>9</v>
      </c>
      <c r="F34" s="12"/>
      <c r="G34" s="27"/>
      <c r="H34" s="14"/>
      <c r="J34" s="2">
        <v>26</v>
      </c>
      <c r="K34" s="7" t="s">
        <v>197</v>
      </c>
      <c r="L34" s="8" t="s">
        <v>9</v>
      </c>
      <c r="M34" s="8" t="s">
        <v>9</v>
      </c>
      <c r="N34" s="2"/>
      <c r="O34" s="11"/>
      <c r="P34" s="10"/>
    </row>
    <row r="35" spans="2:16" ht="14.4" customHeight="1" x14ac:dyDescent="0.3">
      <c r="B35" s="1">
        <v>27</v>
      </c>
      <c r="C35" s="7" t="s">
        <v>197</v>
      </c>
      <c r="D35" s="7" t="s">
        <v>9</v>
      </c>
      <c r="E35" s="7" t="s">
        <v>9</v>
      </c>
      <c r="F35" s="12"/>
      <c r="G35" s="27"/>
      <c r="H35" s="14"/>
      <c r="J35" s="2">
        <v>27</v>
      </c>
      <c r="K35" s="7" t="s">
        <v>197</v>
      </c>
      <c r="L35" s="8" t="s">
        <v>9</v>
      </c>
      <c r="M35" s="8" t="s">
        <v>9</v>
      </c>
      <c r="N35" s="2"/>
      <c r="O35" s="11"/>
      <c r="P35" s="10"/>
    </row>
    <row r="36" spans="2:16" ht="14.4" customHeight="1" x14ac:dyDescent="0.3">
      <c r="B36" s="1">
        <v>28</v>
      </c>
      <c r="C36" s="7" t="s">
        <v>197</v>
      </c>
      <c r="D36" s="7" t="s">
        <v>9</v>
      </c>
      <c r="E36" s="7" t="s">
        <v>9</v>
      </c>
      <c r="F36" s="12"/>
      <c r="G36" s="27"/>
      <c r="H36" s="14"/>
      <c r="J36" s="2">
        <v>28</v>
      </c>
      <c r="K36" s="7" t="s">
        <v>197</v>
      </c>
      <c r="L36" s="8" t="s">
        <v>9</v>
      </c>
      <c r="M36" s="8" t="s">
        <v>9</v>
      </c>
      <c r="N36" s="2"/>
      <c r="O36" s="11"/>
      <c r="P36" s="10"/>
    </row>
    <row r="37" spans="2:16" ht="14.4" customHeight="1" x14ac:dyDescent="0.3">
      <c r="B37" s="1">
        <v>29</v>
      </c>
      <c r="C37" s="7" t="s">
        <v>197</v>
      </c>
      <c r="D37" s="7" t="s">
        <v>9</v>
      </c>
      <c r="E37" s="7" t="s">
        <v>9</v>
      </c>
      <c r="F37" s="12"/>
      <c r="G37" s="27"/>
      <c r="H37" s="14"/>
      <c r="J37" s="2">
        <v>29</v>
      </c>
      <c r="K37" s="7" t="s">
        <v>197</v>
      </c>
      <c r="L37" s="8" t="s">
        <v>9</v>
      </c>
      <c r="M37" s="8" t="s">
        <v>9</v>
      </c>
      <c r="N37" s="2"/>
      <c r="O37" s="11"/>
      <c r="P37" s="10"/>
    </row>
    <row r="38" spans="2:16" ht="14.4" customHeight="1" x14ac:dyDescent="0.3">
      <c r="B38" s="1">
        <v>30</v>
      </c>
      <c r="C38" s="7" t="s">
        <v>197</v>
      </c>
      <c r="D38" s="7" t="s">
        <v>9</v>
      </c>
      <c r="E38" s="7" t="s">
        <v>9</v>
      </c>
      <c r="F38" s="12"/>
      <c r="G38" s="27"/>
      <c r="H38" s="14"/>
      <c r="J38" s="2">
        <v>30</v>
      </c>
      <c r="K38" s="7" t="s">
        <v>197</v>
      </c>
      <c r="L38" s="8" t="s">
        <v>9</v>
      </c>
      <c r="M38" s="8" t="s">
        <v>9</v>
      </c>
      <c r="N38" s="2"/>
      <c r="O38" s="11"/>
      <c r="P38" s="10"/>
    </row>
    <row r="39" spans="2:16" ht="14.4" customHeight="1" x14ac:dyDescent="0.3">
      <c r="B39" s="1">
        <v>31</v>
      </c>
      <c r="C39" s="7" t="s">
        <v>197</v>
      </c>
      <c r="D39" s="7" t="s">
        <v>9</v>
      </c>
      <c r="E39" s="7" t="s">
        <v>9</v>
      </c>
      <c r="F39" s="12"/>
      <c r="G39" s="27"/>
      <c r="H39" s="14"/>
      <c r="J39" s="2">
        <v>31</v>
      </c>
      <c r="K39" s="7" t="s">
        <v>197</v>
      </c>
      <c r="L39" s="8" t="s">
        <v>9</v>
      </c>
      <c r="M39" s="8" t="s">
        <v>9</v>
      </c>
      <c r="N39" s="2"/>
      <c r="O39" s="11"/>
      <c r="P39" s="10"/>
    </row>
    <row r="40" spans="2:16" ht="14.4" customHeight="1" x14ac:dyDescent="0.3">
      <c r="B40" s="1">
        <v>32</v>
      </c>
      <c r="C40" s="7" t="s">
        <v>197</v>
      </c>
      <c r="D40" s="7" t="s">
        <v>9</v>
      </c>
      <c r="E40" s="7" t="s">
        <v>9</v>
      </c>
      <c r="F40" s="12"/>
      <c r="G40" s="27"/>
      <c r="H40" s="14"/>
      <c r="J40" s="2">
        <v>32</v>
      </c>
      <c r="K40" s="7" t="s">
        <v>197</v>
      </c>
      <c r="L40" s="8" t="s">
        <v>9</v>
      </c>
      <c r="M40" s="8" t="s">
        <v>9</v>
      </c>
      <c r="N40" s="2"/>
      <c r="O40" s="11"/>
      <c r="P40" s="10"/>
    </row>
    <row r="41" spans="2:16" ht="14.4" customHeight="1" x14ac:dyDescent="0.3">
      <c r="B41" s="1">
        <v>33</v>
      </c>
      <c r="C41" s="7" t="s">
        <v>197</v>
      </c>
      <c r="D41" s="7" t="s">
        <v>9</v>
      </c>
      <c r="E41" s="7" t="s">
        <v>9</v>
      </c>
      <c r="F41" s="12"/>
      <c r="G41" s="27"/>
      <c r="H41" s="14"/>
      <c r="J41" s="2">
        <v>33</v>
      </c>
      <c r="K41" s="7" t="s">
        <v>197</v>
      </c>
      <c r="L41" s="8" t="s">
        <v>9</v>
      </c>
      <c r="M41" s="8" t="s">
        <v>9</v>
      </c>
      <c r="N41" s="2"/>
      <c r="O41" s="11"/>
      <c r="P41" s="10"/>
    </row>
    <row r="42" spans="2:16" ht="14.4" customHeight="1" x14ac:dyDescent="0.3">
      <c r="B42" s="1">
        <v>34</v>
      </c>
      <c r="C42" s="7" t="s">
        <v>197</v>
      </c>
      <c r="D42" s="7" t="s">
        <v>9</v>
      </c>
      <c r="E42" s="7" t="s">
        <v>9</v>
      </c>
      <c r="F42" s="12"/>
      <c r="G42" s="27"/>
      <c r="H42" s="14"/>
      <c r="J42" s="2">
        <v>34</v>
      </c>
      <c r="K42" s="7" t="s">
        <v>197</v>
      </c>
      <c r="L42" s="8" t="s">
        <v>9</v>
      </c>
      <c r="M42" s="8" t="s">
        <v>9</v>
      </c>
      <c r="N42" s="2"/>
      <c r="O42" s="11"/>
      <c r="P42" s="10"/>
    </row>
    <row r="43" spans="2:16" ht="14.4" customHeight="1" x14ac:dyDescent="0.3">
      <c r="B43" s="1">
        <v>35</v>
      </c>
      <c r="C43" s="7" t="s">
        <v>197</v>
      </c>
      <c r="D43" s="7" t="s">
        <v>9</v>
      </c>
      <c r="E43" s="7" t="s">
        <v>9</v>
      </c>
      <c r="F43" s="12"/>
      <c r="G43" s="27"/>
      <c r="H43" s="14"/>
      <c r="J43" s="2">
        <v>35</v>
      </c>
      <c r="K43" s="7" t="s">
        <v>197</v>
      </c>
      <c r="L43" s="8" t="s">
        <v>9</v>
      </c>
      <c r="M43" s="8" t="s">
        <v>9</v>
      </c>
      <c r="N43" s="2"/>
      <c r="O43" s="11"/>
      <c r="P43" s="10"/>
    </row>
    <row r="44" spans="2:16" ht="14.4" customHeight="1" x14ac:dyDescent="0.3">
      <c r="B44" s="1">
        <v>36</v>
      </c>
      <c r="C44" s="7" t="s">
        <v>197</v>
      </c>
      <c r="D44" s="7" t="s">
        <v>9</v>
      </c>
      <c r="E44" s="7" t="s">
        <v>9</v>
      </c>
      <c r="F44" s="12"/>
      <c r="G44" s="27"/>
      <c r="H44" s="14"/>
      <c r="J44" s="2">
        <v>36</v>
      </c>
      <c r="K44" s="7" t="s">
        <v>197</v>
      </c>
      <c r="L44" s="8" t="s">
        <v>9</v>
      </c>
      <c r="M44" s="8" t="s">
        <v>9</v>
      </c>
      <c r="N44" s="2"/>
      <c r="O44" s="11"/>
      <c r="P44" s="10"/>
    </row>
    <row r="45" spans="2:16" ht="14.4" customHeight="1" x14ac:dyDescent="0.3">
      <c r="B45" s="1">
        <v>37</v>
      </c>
      <c r="C45" s="7" t="s">
        <v>197</v>
      </c>
      <c r="D45" s="7" t="s">
        <v>9</v>
      </c>
      <c r="E45" s="7" t="s">
        <v>9</v>
      </c>
      <c r="F45" s="12"/>
      <c r="G45" s="27"/>
      <c r="H45" s="14"/>
      <c r="J45" s="2">
        <v>37</v>
      </c>
      <c r="K45" s="7" t="s">
        <v>197</v>
      </c>
      <c r="L45" s="8" t="s">
        <v>9</v>
      </c>
      <c r="M45" s="8" t="s">
        <v>9</v>
      </c>
      <c r="N45" s="2"/>
      <c r="O45" s="11"/>
      <c r="P45" s="10"/>
    </row>
    <row r="46" spans="2:16" ht="14.4" customHeight="1" x14ac:dyDescent="0.3">
      <c r="B46" s="1">
        <v>38</v>
      </c>
      <c r="C46" s="7" t="s">
        <v>197</v>
      </c>
      <c r="D46" s="7" t="s">
        <v>9</v>
      </c>
      <c r="E46" s="7" t="s">
        <v>9</v>
      </c>
      <c r="F46" s="12"/>
      <c r="G46" s="27"/>
      <c r="H46" s="14"/>
      <c r="J46" s="2">
        <v>38</v>
      </c>
      <c r="K46" s="7" t="s">
        <v>197</v>
      </c>
      <c r="L46" s="8" t="s">
        <v>9</v>
      </c>
      <c r="M46" s="8" t="s">
        <v>9</v>
      </c>
      <c r="N46" s="2"/>
      <c r="O46" s="11"/>
      <c r="P46" s="10"/>
    </row>
    <row r="47" spans="2:16" ht="14.4" customHeight="1" x14ac:dyDescent="0.3">
      <c r="B47" s="1">
        <v>39</v>
      </c>
      <c r="C47" s="7" t="s">
        <v>197</v>
      </c>
      <c r="D47" s="7" t="s">
        <v>9</v>
      </c>
      <c r="E47" s="7" t="s">
        <v>9</v>
      </c>
      <c r="F47" s="12"/>
      <c r="G47" s="27"/>
      <c r="H47" s="14"/>
      <c r="J47" s="2">
        <v>39</v>
      </c>
      <c r="K47" s="7" t="s">
        <v>197</v>
      </c>
      <c r="L47" s="8" t="s">
        <v>9</v>
      </c>
      <c r="M47" s="8" t="s">
        <v>9</v>
      </c>
      <c r="N47" s="2"/>
      <c r="O47" s="11"/>
      <c r="P47" s="10"/>
    </row>
    <row r="48" spans="2:16" ht="14.4" customHeight="1" x14ac:dyDescent="0.3">
      <c r="B48" s="1">
        <v>40</v>
      </c>
      <c r="C48" s="7" t="s">
        <v>197</v>
      </c>
      <c r="D48" s="7" t="s">
        <v>9</v>
      </c>
      <c r="E48" s="7" t="s">
        <v>9</v>
      </c>
      <c r="F48" s="12"/>
      <c r="G48" s="27"/>
      <c r="H48" s="14"/>
      <c r="J48" s="2">
        <v>40</v>
      </c>
      <c r="K48" s="7" t="s">
        <v>197</v>
      </c>
      <c r="L48" s="8" t="s">
        <v>9</v>
      </c>
      <c r="M48" s="8" t="s">
        <v>9</v>
      </c>
      <c r="N48" s="2"/>
      <c r="O48" s="11"/>
      <c r="P48" s="10"/>
    </row>
    <row r="49" spans="2:16" ht="14.4" customHeight="1" x14ac:dyDescent="0.3">
      <c r="B49" s="1">
        <v>41</v>
      </c>
      <c r="C49" s="7" t="s">
        <v>197</v>
      </c>
      <c r="D49" s="7" t="s">
        <v>9</v>
      </c>
      <c r="E49" s="7" t="s">
        <v>9</v>
      </c>
      <c r="F49" s="12"/>
      <c r="G49" s="27"/>
      <c r="H49" s="14"/>
      <c r="J49" s="2">
        <v>41</v>
      </c>
      <c r="K49" s="7" t="s">
        <v>197</v>
      </c>
      <c r="L49" s="8" t="s">
        <v>9</v>
      </c>
      <c r="M49" s="8" t="s">
        <v>9</v>
      </c>
      <c r="N49" s="2"/>
      <c r="O49" s="11"/>
      <c r="P49" s="10"/>
    </row>
    <row r="50" spans="2:16" ht="14.4" customHeight="1" x14ac:dyDescent="0.3">
      <c r="B50" s="1">
        <v>42</v>
      </c>
      <c r="C50" s="7" t="s">
        <v>197</v>
      </c>
      <c r="D50" s="7" t="s">
        <v>9</v>
      </c>
      <c r="E50" s="7" t="s">
        <v>9</v>
      </c>
      <c r="F50" s="12"/>
      <c r="G50" s="27"/>
      <c r="H50" s="14"/>
      <c r="J50" s="2">
        <v>42</v>
      </c>
      <c r="K50" s="7" t="s">
        <v>197</v>
      </c>
      <c r="L50" s="8" t="s">
        <v>9</v>
      </c>
      <c r="M50" s="8" t="s">
        <v>9</v>
      </c>
      <c r="N50" s="2"/>
      <c r="O50" s="11"/>
      <c r="P50" s="10"/>
    </row>
    <row r="51" spans="2:16" ht="14.4" customHeight="1" x14ac:dyDescent="0.3">
      <c r="B51" s="1">
        <v>43</v>
      </c>
      <c r="C51" s="7" t="s">
        <v>197</v>
      </c>
      <c r="D51" s="7" t="s">
        <v>9</v>
      </c>
      <c r="E51" s="7" t="s">
        <v>9</v>
      </c>
      <c r="F51" s="12"/>
      <c r="G51" s="27"/>
      <c r="H51" s="14"/>
      <c r="J51" s="2">
        <v>43</v>
      </c>
      <c r="K51" s="7" t="s">
        <v>197</v>
      </c>
      <c r="L51" s="8" t="s">
        <v>9</v>
      </c>
      <c r="M51" s="8" t="s">
        <v>9</v>
      </c>
      <c r="N51" s="2"/>
      <c r="O51" s="11"/>
      <c r="P51" s="10"/>
    </row>
    <row r="52" spans="2:16" ht="14.4" customHeight="1" x14ac:dyDescent="0.3">
      <c r="B52" s="1">
        <v>44</v>
      </c>
      <c r="C52" s="7" t="s">
        <v>197</v>
      </c>
      <c r="D52" s="7" t="s">
        <v>9</v>
      </c>
      <c r="E52" s="7" t="s">
        <v>9</v>
      </c>
      <c r="F52" s="12"/>
      <c r="G52" s="27"/>
      <c r="H52" s="14"/>
      <c r="J52" s="2">
        <v>44</v>
      </c>
      <c r="K52" s="7" t="s">
        <v>197</v>
      </c>
      <c r="L52" s="8" t="s">
        <v>9</v>
      </c>
      <c r="M52" s="8" t="s">
        <v>9</v>
      </c>
      <c r="N52" s="2"/>
      <c r="O52" s="11"/>
      <c r="P52" s="10"/>
    </row>
    <row r="53" spans="2:16" ht="14.4" customHeight="1" x14ac:dyDescent="0.3">
      <c r="B53" s="1">
        <v>45</v>
      </c>
      <c r="C53" s="7" t="s">
        <v>197</v>
      </c>
      <c r="D53" s="7" t="s">
        <v>9</v>
      </c>
      <c r="E53" s="7" t="s">
        <v>9</v>
      </c>
      <c r="F53" s="12"/>
      <c r="G53" s="27"/>
      <c r="H53" s="14"/>
      <c r="J53" s="2">
        <v>45</v>
      </c>
      <c r="K53" s="7" t="s">
        <v>197</v>
      </c>
      <c r="L53" s="8" t="s">
        <v>9</v>
      </c>
      <c r="M53" s="8" t="s">
        <v>9</v>
      </c>
      <c r="N53" s="2"/>
      <c r="O53" s="11"/>
      <c r="P53" s="10"/>
    </row>
    <row r="54" spans="2:16" ht="14.4" customHeight="1" x14ac:dyDescent="0.3">
      <c r="B54" s="1">
        <v>46</v>
      </c>
      <c r="C54" s="7" t="s">
        <v>197</v>
      </c>
      <c r="D54" s="7" t="s">
        <v>9</v>
      </c>
      <c r="E54" s="7" t="s">
        <v>9</v>
      </c>
      <c r="F54" s="12"/>
      <c r="G54" s="27"/>
      <c r="H54" s="14"/>
      <c r="J54" s="2">
        <v>46</v>
      </c>
      <c r="K54" s="7" t="s">
        <v>197</v>
      </c>
      <c r="L54" s="8" t="s">
        <v>9</v>
      </c>
      <c r="M54" s="8" t="s">
        <v>9</v>
      </c>
      <c r="N54" s="2"/>
      <c r="O54" s="11"/>
      <c r="P54" s="10"/>
    </row>
    <row r="55" spans="2:16" ht="14.4" customHeight="1" x14ac:dyDescent="0.3">
      <c r="B55" s="1">
        <v>47</v>
      </c>
      <c r="C55" s="7" t="s">
        <v>197</v>
      </c>
      <c r="D55" s="7" t="s">
        <v>9</v>
      </c>
      <c r="E55" s="7" t="s">
        <v>9</v>
      </c>
      <c r="F55" s="12"/>
      <c r="G55" s="27"/>
      <c r="H55" s="14"/>
      <c r="J55" s="2">
        <v>47</v>
      </c>
      <c r="K55" s="7" t="s">
        <v>197</v>
      </c>
      <c r="L55" s="8" t="s">
        <v>9</v>
      </c>
      <c r="M55" s="8" t="s">
        <v>9</v>
      </c>
      <c r="N55" s="2"/>
      <c r="O55" s="11"/>
      <c r="P55" s="10"/>
    </row>
    <row r="56" spans="2:16" ht="14.4" customHeight="1" x14ac:dyDescent="0.3">
      <c r="B56" s="1">
        <v>48</v>
      </c>
      <c r="C56" s="7" t="s">
        <v>197</v>
      </c>
      <c r="D56" s="7" t="s">
        <v>9</v>
      </c>
      <c r="E56" s="7" t="s">
        <v>9</v>
      </c>
      <c r="F56" s="12"/>
      <c r="G56" s="27"/>
      <c r="H56" s="14"/>
      <c r="J56" s="2">
        <v>48</v>
      </c>
      <c r="K56" s="7" t="s">
        <v>197</v>
      </c>
      <c r="L56" s="8" t="s">
        <v>9</v>
      </c>
      <c r="M56" s="8" t="s">
        <v>9</v>
      </c>
      <c r="N56" s="2"/>
      <c r="O56" s="11"/>
      <c r="P56" s="10"/>
    </row>
    <row r="57" spans="2:16" ht="14.4" customHeight="1" x14ac:dyDescent="0.3">
      <c r="B57" s="1">
        <v>49</v>
      </c>
      <c r="C57" s="7" t="s">
        <v>197</v>
      </c>
      <c r="D57" s="7" t="s">
        <v>9</v>
      </c>
      <c r="E57" s="7" t="s">
        <v>9</v>
      </c>
      <c r="F57" s="12"/>
      <c r="G57" s="27"/>
      <c r="H57" s="14"/>
      <c r="J57" s="2">
        <v>49</v>
      </c>
      <c r="K57" s="7" t="s">
        <v>197</v>
      </c>
      <c r="L57" s="8" t="s">
        <v>9</v>
      </c>
      <c r="M57" s="8" t="s">
        <v>9</v>
      </c>
      <c r="N57" s="2"/>
      <c r="O57" s="11"/>
      <c r="P57" s="10"/>
    </row>
    <row r="58" spans="2:16" ht="14.4" customHeight="1" x14ac:dyDescent="0.3">
      <c r="B58" s="1">
        <v>50</v>
      </c>
      <c r="C58" s="7" t="s">
        <v>197</v>
      </c>
      <c r="D58" s="7" t="s">
        <v>9</v>
      </c>
      <c r="E58" s="7" t="s">
        <v>9</v>
      </c>
      <c r="F58" s="12"/>
      <c r="G58" s="27"/>
      <c r="H58" s="14"/>
      <c r="J58" s="2">
        <v>50</v>
      </c>
      <c r="K58" s="7" t="s">
        <v>197</v>
      </c>
      <c r="L58" s="8" t="s">
        <v>9</v>
      </c>
      <c r="M58" s="8" t="s">
        <v>9</v>
      </c>
      <c r="N58" s="2"/>
      <c r="O58" s="11"/>
      <c r="P58" s="10"/>
    </row>
    <row r="59" spans="2:16" ht="14.4" customHeight="1" x14ac:dyDescent="0.3">
      <c r="B59" s="1">
        <v>51</v>
      </c>
      <c r="C59" s="7" t="s">
        <v>197</v>
      </c>
      <c r="D59" s="7" t="s">
        <v>9</v>
      </c>
      <c r="E59" s="7" t="s">
        <v>9</v>
      </c>
      <c r="F59" s="12"/>
      <c r="G59" s="27"/>
      <c r="H59" s="14"/>
      <c r="J59" s="2">
        <v>51</v>
      </c>
      <c r="K59" s="7" t="s">
        <v>197</v>
      </c>
      <c r="L59" s="8" t="s">
        <v>9</v>
      </c>
      <c r="M59" s="8" t="s">
        <v>9</v>
      </c>
      <c r="N59" s="2"/>
      <c r="O59" s="11"/>
      <c r="P59" s="10"/>
    </row>
    <row r="60" spans="2:16" ht="14.4" customHeight="1" x14ac:dyDescent="0.3">
      <c r="B60" s="1">
        <v>52</v>
      </c>
      <c r="C60" s="7" t="s">
        <v>197</v>
      </c>
      <c r="D60" s="7" t="s">
        <v>9</v>
      </c>
      <c r="E60" s="7" t="s">
        <v>9</v>
      </c>
      <c r="F60" s="12"/>
      <c r="G60" s="27"/>
      <c r="H60" s="14"/>
      <c r="J60" s="2">
        <v>52</v>
      </c>
      <c r="K60" s="7" t="s">
        <v>197</v>
      </c>
      <c r="L60" s="8" t="s">
        <v>9</v>
      </c>
      <c r="M60" s="8" t="s">
        <v>9</v>
      </c>
      <c r="N60" s="2"/>
      <c r="O60" s="11"/>
      <c r="P60" s="10"/>
    </row>
    <row r="61" spans="2:16" ht="14.4" customHeight="1" x14ac:dyDescent="0.3">
      <c r="B61" s="1">
        <v>53</v>
      </c>
      <c r="C61" s="7" t="s">
        <v>197</v>
      </c>
      <c r="D61" s="7" t="s">
        <v>9</v>
      </c>
      <c r="E61" s="7" t="s">
        <v>9</v>
      </c>
      <c r="F61" s="12"/>
      <c r="G61" s="27"/>
      <c r="H61" s="14"/>
      <c r="J61" s="2">
        <v>53</v>
      </c>
      <c r="K61" s="7" t="s">
        <v>197</v>
      </c>
      <c r="L61" s="8" t="s">
        <v>9</v>
      </c>
      <c r="M61" s="8" t="s">
        <v>9</v>
      </c>
      <c r="N61" s="2"/>
      <c r="O61" s="11"/>
      <c r="P61" s="10"/>
    </row>
    <row r="62" spans="2:16" ht="14.4" customHeight="1" x14ac:dyDescent="0.3">
      <c r="B62" s="1">
        <v>54</v>
      </c>
      <c r="C62" s="7" t="s">
        <v>197</v>
      </c>
      <c r="D62" s="7" t="s">
        <v>9</v>
      </c>
      <c r="E62" s="7" t="s">
        <v>9</v>
      </c>
      <c r="F62" s="12"/>
      <c r="G62" s="27"/>
      <c r="H62" s="14"/>
      <c r="J62" s="2">
        <v>54</v>
      </c>
      <c r="K62" s="7" t="s">
        <v>197</v>
      </c>
      <c r="L62" s="8" t="s">
        <v>9</v>
      </c>
      <c r="M62" s="8" t="s">
        <v>9</v>
      </c>
      <c r="N62" s="2"/>
      <c r="O62" s="11"/>
      <c r="P62" s="10"/>
    </row>
    <row r="63" spans="2:16" ht="14.4" customHeight="1" x14ac:dyDescent="0.3">
      <c r="B63" s="1">
        <v>55</v>
      </c>
      <c r="C63" s="7" t="s">
        <v>197</v>
      </c>
      <c r="D63" s="7" t="s">
        <v>9</v>
      </c>
      <c r="E63" s="7" t="s">
        <v>9</v>
      </c>
      <c r="F63" s="12"/>
      <c r="G63" s="27"/>
      <c r="H63" s="14"/>
      <c r="J63" s="2">
        <v>55</v>
      </c>
      <c r="K63" s="7" t="s">
        <v>197</v>
      </c>
      <c r="L63" s="8" t="s">
        <v>9</v>
      </c>
      <c r="M63" s="8" t="s">
        <v>9</v>
      </c>
      <c r="N63" s="2"/>
      <c r="O63" s="11"/>
      <c r="P63" s="10"/>
    </row>
    <row r="64" spans="2:16" ht="14.4" customHeight="1" x14ac:dyDescent="0.3">
      <c r="B64" s="1">
        <v>56</v>
      </c>
      <c r="C64" s="7" t="s">
        <v>197</v>
      </c>
      <c r="D64" s="7" t="s">
        <v>9</v>
      </c>
      <c r="E64" s="7" t="s">
        <v>9</v>
      </c>
      <c r="F64" s="12"/>
      <c r="G64" s="27"/>
      <c r="H64" s="14"/>
      <c r="J64" s="2">
        <v>56</v>
      </c>
      <c r="K64" s="7" t="s">
        <v>197</v>
      </c>
      <c r="L64" s="8" t="s">
        <v>9</v>
      </c>
      <c r="M64" s="8" t="s">
        <v>9</v>
      </c>
      <c r="N64" s="2"/>
      <c r="O64" s="11"/>
      <c r="P64" s="10"/>
    </row>
    <row r="65" spans="2:16" ht="14.4" customHeight="1" x14ac:dyDescent="0.3">
      <c r="B65" s="1">
        <v>57</v>
      </c>
      <c r="C65" s="7" t="s">
        <v>197</v>
      </c>
      <c r="D65" s="7" t="s">
        <v>9</v>
      </c>
      <c r="E65" s="7" t="s">
        <v>9</v>
      </c>
      <c r="F65" s="12"/>
      <c r="G65" s="27"/>
      <c r="H65" s="14"/>
      <c r="J65" s="2">
        <v>57</v>
      </c>
      <c r="K65" s="7" t="s">
        <v>197</v>
      </c>
      <c r="L65" s="8" t="s">
        <v>9</v>
      </c>
      <c r="M65" s="8" t="s">
        <v>9</v>
      </c>
      <c r="N65" s="2"/>
      <c r="O65" s="11"/>
      <c r="P65" s="10"/>
    </row>
    <row r="66" spans="2:16" ht="14.4" customHeight="1" x14ac:dyDescent="0.3">
      <c r="B66" s="1">
        <v>58</v>
      </c>
      <c r="C66" s="7" t="s">
        <v>197</v>
      </c>
      <c r="D66" s="7" t="s">
        <v>9</v>
      </c>
      <c r="E66" s="7" t="s">
        <v>9</v>
      </c>
      <c r="F66" s="12"/>
      <c r="G66" s="27"/>
      <c r="H66" s="14"/>
      <c r="J66" s="2">
        <v>58</v>
      </c>
      <c r="K66" s="7" t="s">
        <v>197</v>
      </c>
      <c r="L66" s="8" t="s">
        <v>9</v>
      </c>
      <c r="M66" s="8" t="s">
        <v>9</v>
      </c>
      <c r="N66" s="2"/>
      <c r="O66" s="11"/>
      <c r="P66" s="10"/>
    </row>
    <row r="67" spans="2:16" ht="14.4" customHeight="1" x14ac:dyDescent="0.3">
      <c r="B67" s="1">
        <v>59</v>
      </c>
      <c r="C67" s="7" t="s">
        <v>197</v>
      </c>
      <c r="D67" s="7" t="s">
        <v>9</v>
      </c>
      <c r="E67" s="7" t="s">
        <v>9</v>
      </c>
      <c r="F67" s="12"/>
      <c r="G67" s="27"/>
      <c r="H67" s="14"/>
      <c r="J67" s="2">
        <v>59</v>
      </c>
      <c r="K67" s="7" t="s">
        <v>197</v>
      </c>
      <c r="L67" s="8" t="s">
        <v>9</v>
      </c>
      <c r="M67" s="8" t="s">
        <v>9</v>
      </c>
      <c r="N67" s="2"/>
      <c r="O67" s="11"/>
      <c r="P67" s="10"/>
    </row>
    <row r="68" spans="2:16" ht="14.4" customHeight="1" x14ac:dyDescent="0.3">
      <c r="B68" s="1">
        <v>60</v>
      </c>
      <c r="C68" s="7" t="s">
        <v>197</v>
      </c>
      <c r="D68" s="7" t="s">
        <v>9</v>
      </c>
      <c r="E68" s="7" t="s">
        <v>9</v>
      </c>
      <c r="F68" s="12"/>
      <c r="G68" s="27"/>
      <c r="H68" s="14"/>
      <c r="J68" s="2">
        <v>60</v>
      </c>
      <c r="K68" s="7" t="s">
        <v>197</v>
      </c>
      <c r="L68" s="8" t="s">
        <v>9</v>
      </c>
      <c r="M68" s="8" t="s">
        <v>9</v>
      </c>
      <c r="N68" s="2"/>
      <c r="O68" s="11"/>
      <c r="P68" s="10"/>
    </row>
    <row r="69" spans="2:16" ht="14.4" customHeight="1" x14ac:dyDescent="0.3">
      <c r="B69" s="1">
        <v>61</v>
      </c>
      <c r="C69" s="7" t="s">
        <v>197</v>
      </c>
      <c r="D69" s="7" t="s">
        <v>9</v>
      </c>
      <c r="E69" s="7" t="s">
        <v>9</v>
      </c>
      <c r="F69" s="12"/>
      <c r="G69" s="27"/>
      <c r="J69" s="2">
        <v>61</v>
      </c>
      <c r="K69" s="7" t="s">
        <v>197</v>
      </c>
      <c r="L69" s="8" t="s">
        <v>9</v>
      </c>
      <c r="M69" s="8" t="s">
        <v>9</v>
      </c>
      <c r="N69" s="9"/>
      <c r="O69" s="9"/>
    </row>
    <row r="70" spans="2:16" ht="14.4" customHeight="1" x14ac:dyDescent="0.3">
      <c r="B70" s="1">
        <v>62</v>
      </c>
      <c r="C70" s="7" t="s">
        <v>197</v>
      </c>
      <c r="D70" s="7" t="s">
        <v>9</v>
      </c>
      <c r="E70" s="7" t="s">
        <v>9</v>
      </c>
      <c r="F70" s="12"/>
      <c r="G70" s="27"/>
      <c r="J70" s="2">
        <v>62</v>
      </c>
      <c r="K70" s="7" t="s">
        <v>197</v>
      </c>
      <c r="L70" s="8" t="s">
        <v>9</v>
      </c>
      <c r="M70" s="8" t="s">
        <v>9</v>
      </c>
      <c r="N70" s="9"/>
      <c r="O70" s="9"/>
    </row>
    <row r="71" spans="2:16" ht="14.4" customHeight="1" x14ac:dyDescent="0.3">
      <c r="B71" s="1">
        <v>63</v>
      </c>
      <c r="C71" s="7" t="s">
        <v>197</v>
      </c>
      <c r="D71" s="7" t="s">
        <v>9</v>
      </c>
      <c r="E71" s="7" t="s">
        <v>9</v>
      </c>
      <c r="F71" s="12"/>
      <c r="G71" s="27"/>
      <c r="J71" s="2">
        <v>63</v>
      </c>
      <c r="K71" s="7" t="s">
        <v>197</v>
      </c>
      <c r="L71" s="8" t="s">
        <v>9</v>
      </c>
      <c r="M71" s="8" t="s">
        <v>9</v>
      </c>
      <c r="N71" s="9"/>
      <c r="O71" s="9"/>
    </row>
    <row r="72" spans="2:16" ht="14.4" customHeight="1" x14ac:dyDescent="0.3">
      <c r="B72" s="1">
        <v>64</v>
      </c>
      <c r="C72" s="7" t="s">
        <v>197</v>
      </c>
      <c r="D72" s="7" t="s">
        <v>9</v>
      </c>
      <c r="E72" s="7" t="s">
        <v>9</v>
      </c>
      <c r="F72" s="12"/>
      <c r="G72" s="27"/>
      <c r="J72" s="2">
        <v>64</v>
      </c>
      <c r="K72" s="7" t="s">
        <v>197</v>
      </c>
      <c r="L72" s="8" t="s">
        <v>9</v>
      </c>
      <c r="M72" s="8" t="s">
        <v>9</v>
      </c>
      <c r="N72" s="9"/>
      <c r="O72" s="9"/>
    </row>
    <row r="73" spans="2:16" ht="14.4" customHeight="1" x14ac:dyDescent="0.3">
      <c r="B73" s="1">
        <v>65</v>
      </c>
      <c r="C73" s="7" t="s">
        <v>197</v>
      </c>
      <c r="D73" s="7" t="s">
        <v>9</v>
      </c>
      <c r="E73" s="7" t="s">
        <v>9</v>
      </c>
      <c r="F73" s="12"/>
      <c r="G73" s="27"/>
      <c r="J73" s="2">
        <v>65</v>
      </c>
      <c r="K73" s="7" t="s">
        <v>197</v>
      </c>
      <c r="L73" s="8" t="s">
        <v>9</v>
      </c>
      <c r="M73" s="8" t="s">
        <v>9</v>
      </c>
      <c r="N73" s="9"/>
      <c r="O73" s="9"/>
    </row>
    <row r="74" spans="2:16" ht="14.4" customHeight="1" x14ac:dyDescent="0.3">
      <c r="B74" s="1">
        <v>66</v>
      </c>
      <c r="C74" s="7" t="s">
        <v>197</v>
      </c>
      <c r="D74" s="7" t="s">
        <v>9</v>
      </c>
      <c r="E74" s="7" t="s">
        <v>9</v>
      </c>
      <c r="F74" s="12"/>
      <c r="G74" s="27"/>
      <c r="J74" s="2">
        <v>66</v>
      </c>
      <c r="K74" s="7" t="s">
        <v>197</v>
      </c>
      <c r="L74" s="8" t="s">
        <v>9</v>
      </c>
      <c r="M74" s="8" t="s">
        <v>9</v>
      </c>
      <c r="N74" s="9"/>
      <c r="O74" s="9"/>
    </row>
    <row r="75" spans="2:16" ht="14.4" customHeight="1" x14ac:dyDescent="0.3">
      <c r="B75" s="1">
        <v>67</v>
      </c>
      <c r="C75" s="7" t="s">
        <v>197</v>
      </c>
      <c r="D75" s="7" t="s">
        <v>9</v>
      </c>
      <c r="E75" s="7" t="s">
        <v>9</v>
      </c>
      <c r="F75" s="12"/>
      <c r="G75" s="27"/>
      <c r="J75" s="2">
        <v>67</v>
      </c>
      <c r="K75" s="7" t="s">
        <v>197</v>
      </c>
      <c r="L75" s="8" t="s">
        <v>9</v>
      </c>
      <c r="M75" s="8" t="s">
        <v>9</v>
      </c>
      <c r="N75" s="9"/>
      <c r="O75" s="9"/>
    </row>
    <row r="76" spans="2:16" ht="14.4" customHeight="1" x14ac:dyDescent="0.3">
      <c r="B76" s="1">
        <v>68</v>
      </c>
      <c r="C76" s="7" t="s">
        <v>197</v>
      </c>
      <c r="D76" s="7" t="s">
        <v>9</v>
      </c>
      <c r="E76" s="7" t="s">
        <v>9</v>
      </c>
      <c r="F76" s="12"/>
      <c r="G76" s="27"/>
      <c r="J76" s="2">
        <v>68</v>
      </c>
      <c r="K76" s="7" t="s">
        <v>197</v>
      </c>
      <c r="L76" s="8" t="s">
        <v>9</v>
      </c>
      <c r="M76" s="8" t="s">
        <v>9</v>
      </c>
      <c r="N76" s="9"/>
      <c r="O76" s="9"/>
    </row>
    <row r="77" spans="2:16" ht="14.4" customHeight="1" x14ac:dyDescent="0.3">
      <c r="B77" s="1">
        <v>69</v>
      </c>
      <c r="C77" s="7" t="s">
        <v>197</v>
      </c>
      <c r="D77" s="7" t="s">
        <v>9</v>
      </c>
      <c r="E77" s="7" t="s">
        <v>9</v>
      </c>
      <c r="F77" s="12"/>
      <c r="G77" s="27"/>
      <c r="J77" s="2">
        <v>69</v>
      </c>
      <c r="K77" s="7" t="s">
        <v>197</v>
      </c>
      <c r="L77" s="8" t="s">
        <v>9</v>
      </c>
      <c r="M77" s="8" t="s">
        <v>9</v>
      </c>
      <c r="N77" s="9"/>
      <c r="O77" s="9"/>
    </row>
    <row r="78" spans="2:16" ht="14.4" customHeight="1" x14ac:dyDescent="0.3">
      <c r="B78" s="1">
        <v>70</v>
      </c>
      <c r="C78" s="7" t="s">
        <v>197</v>
      </c>
      <c r="D78" s="7" t="s">
        <v>9</v>
      </c>
      <c r="E78" s="7" t="s">
        <v>9</v>
      </c>
      <c r="F78" s="12"/>
      <c r="G78" s="27"/>
      <c r="J78" s="2">
        <v>70</v>
      </c>
      <c r="K78" s="7" t="s">
        <v>197</v>
      </c>
      <c r="L78" s="8" t="s">
        <v>9</v>
      </c>
      <c r="M78" s="8" t="s">
        <v>9</v>
      </c>
      <c r="N78" s="9"/>
      <c r="O78" s="9"/>
    </row>
    <row r="79" spans="2:16" ht="14.4" customHeight="1" x14ac:dyDescent="0.3">
      <c r="B79" s="1">
        <v>71</v>
      </c>
      <c r="C79" s="7" t="s">
        <v>197</v>
      </c>
      <c r="D79" s="7" t="s">
        <v>9</v>
      </c>
      <c r="E79" s="7" t="s">
        <v>9</v>
      </c>
      <c r="F79" s="12"/>
      <c r="G79" s="27"/>
      <c r="J79" s="2">
        <v>71</v>
      </c>
      <c r="K79" s="7" t="s">
        <v>197</v>
      </c>
      <c r="L79" s="8" t="s">
        <v>9</v>
      </c>
      <c r="M79" s="8" t="s">
        <v>9</v>
      </c>
      <c r="N79" s="9"/>
      <c r="O79" s="9"/>
    </row>
    <row r="80" spans="2:16" ht="14.4" customHeight="1" x14ac:dyDescent="0.3">
      <c r="B80" s="1">
        <v>72</v>
      </c>
      <c r="C80" s="7" t="s">
        <v>197</v>
      </c>
      <c r="D80" s="7" t="s">
        <v>9</v>
      </c>
      <c r="E80" s="7" t="s">
        <v>9</v>
      </c>
      <c r="F80" s="12"/>
      <c r="G80" s="27"/>
      <c r="J80" s="2">
        <v>72</v>
      </c>
      <c r="K80" s="7" t="s">
        <v>197</v>
      </c>
      <c r="L80" s="8" t="s">
        <v>9</v>
      </c>
      <c r="M80" s="8" t="s">
        <v>9</v>
      </c>
      <c r="N80" s="9"/>
      <c r="O80" s="9"/>
    </row>
    <row r="81" spans="2:15" ht="14.4" customHeight="1" x14ac:dyDescent="0.3">
      <c r="B81" s="1">
        <v>73</v>
      </c>
      <c r="C81" s="7" t="s">
        <v>197</v>
      </c>
      <c r="D81" s="7" t="s">
        <v>9</v>
      </c>
      <c r="E81" s="7" t="s">
        <v>9</v>
      </c>
      <c r="F81" s="12"/>
      <c r="G81" s="27"/>
      <c r="J81" s="2">
        <v>73</v>
      </c>
      <c r="K81" s="7" t="s">
        <v>197</v>
      </c>
      <c r="L81" s="8" t="s">
        <v>9</v>
      </c>
      <c r="M81" s="8" t="s">
        <v>9</v>
      </c>
      <c r="N81" s="9"/>
      <c r="O81" s="9"/>
    </row>
    <row r="82" spans="2:15" ht="14.4" customHeight="1" x14ac:dyDescent="0.3">
      <c r="B82" s="1">
        <v>74</v>
      </c>
      <c r="C82" s="7" t="s">
        <v>197</v>
      </c>
      <c r="D82" s="7" t="s">
        <v>9</v>
      </c>
      <c r="E82" s="7" t="s">
        <v>9</v>
      </c>
      <c r="F82" s="12"/>
      <c r="G82" s="27"/>
      <c r="J82" s="2">
        <v>74</v>
      </c>
      <c r="K82" s="7" t="s">
        <v>197</v>
      </c>
      <c r="L82" s="8" t="s">
        <v>9</v>
      </c>
      <c r="M82" s="8" t="s">
        <v>9</v>
      </c>
      <c r="N82" s="9"/>
      <c r="O82" s="9"/>
    </row>
    <row r="83" spans="2:15" ht="14.4" customHeight="1" x14ac:dyDescent="0.3">
      <c r="B83" s="1">
        <v>75</v>
      </c>
      <c r="C83" s="7" t="s">
        <v>197</v>
      </c>
      <c r="D83" s="7" t="s">
        <v>9</v>
      </c>
      <c r="E83" s="7" t="s">
        <v>9</v>
      </c>
      <c r="F83" s="12"/>
      <c r="G83" s="27"/>
      <c r="J83" s="2">
        <v>75</v>
      </c>
      <c r="K83" s="7" t="s">
        <v>197</v>
      </c>
      <c r="L83" s="8" t="s">
        <v>9</v>
      </c>
      <c r="M83" s="8" t="s">
        <v>9</v>
      </c>
      <c r="N83" s="9"/>
      <c r="O83" s="9"/>
    </row>
    <row r="84" spans="2:15" ht="14.4" customHeight="1" x14ac:dyDescent="0.3">
      <c r="B84" s="1">
        <v>76</v>
      </c>
      <c r="C84" s="7" t="s">
        <v>197</v>
      </c>
      <c r="D84" s="7" t="s">
        <v>9</v>
      </c>
      <c r="E84" s="7" t="s">
        <v>9</v>
      </c>
      <c r="F84" s="12"/>
      <c r="G84" s="27"/>
      <c r="J84" s="2">
        <v>76</v>
      </c>
      <c r="K84" s="7" t="s">
        <v>197</v>
      </c>
      <c r="L84" s="8" t="s">
        <v>9</v>
      </c>
      <c r="M84" s="8" t="s">
        <v>9</v>
      </c>
      <c r="N84" s="9"/>
      <c r="O84" s="9"/>
    </row>
    <row r="85" spans="2:15" ht="14.4" customHeight="1" x14ac:dyDescent="0.3">
      <c r="B85" s="1">
        <v>77</v>
      </c>
      <c r="C85" s="7" t="s">
        <v>197</v>
      </c>
      <c r="D85" s="7" t="s">
        <v>9</v>
      </c>
      <c r="E85" s="7" t="s">
        <v>9</v>
      </c>
      <c r="F85" s="12"/>
      <c r="G85" s="27"/>
      <c r="J85" s="2">
        <v>77</v>
      </c>
      <c r="K85" s="7" t="s">
        <v>197</v>
      </c>
      <c r="L85" s="8" t="s">
        <v>9</v>
      </c>
      <c r="M85" s="8" t="s">
        <v>9</v>
      </c>
      <c r="N85" s="9"/>
      <c r="O85" s="9"/>
    </row>
    <row r="86" spans="2:15" ht="14.4" customHeight="1" x14ac:dyDescent="0.3">
      <c r="B86" s="1">
        <v>78</v>
      </c>
      <c r="C86" s="7" t="s">
        <v>197</v>
      </c>
      <c r="D86" s="7" t="s">
        <v>9</v>
      </c>
      <c r="E86" s="7" t="s">
        <v>9</v>
      </c>
      <c r="F86" s="12"/>
      <c r="G86" s="27"/>
      <c r="J86" s="2">
        <v>78</v>
      </c>
      <c r="K86" s="7" t="s">
        <v>197</v>
      </c>
      <c r="L86" s="8" t="s">
        <v>9</v>
      </c>
      <c r="M86" s="8" t="s">
        <v>9</v>
      </c>
      <c r="N86" s="9"/>
      <c r="O86" s="9"/>
    </row>
    <row r="87" spans="2:15" ht="14.4" customHeight="1" x14ac:dyDescent="0.3">
      <c r="B87" s="1">
        <v>79</v>
      </c>
      <c r="C87" s="7" t="s">
        <v>197</v>
      </c>
      <c r="D87" s="7" t="s">
        <v>9</v>
      </c>
      <c r="E87" s="7" t="s">
        <v>9</v>
      </c>
      <c r="F87" s="12"/>
      <c r="G87" s="27"/>
      <c r="J87" s="2">
        <v>79</v>
      </c>
      <c r="K87" s="7" t="s">
        <v>197</v>
      </c>
      <c r="L87" s="8" t="s">
        <v>9</v>
      </c>
      <c r="M87" s="8" t="s">
        <v>9</v>
      </c>
      <c r="N87" s="9"/>
      <c r="O87" s="9"/>
    </row>
    <row r="88" spans="2:15" ht="14.4" customHeight="1" x14ac:dyDescent="0.3">
      <c r="B88" s="1">
        <v>80</v>
      </c>
      <c r="C88" s="7" t="s">
        <v>197</v>
      </c>
      <c r="D88" s="7" t="s">
        <v>9</v>
      </c>
      <c r="E88" s="7" t="s">
        <v>9</v>
      </c>
      <c r="F88" s="12"/>
      <c r="G88" s="27"/>
      <c r="J88" s="2">
        <v>80</v>
      </c>
      <c r="K88" s="7" t="s">
        <v>197</v>
      </c>
      <c r="L88" s="8" t="s">
        <v>9</v>
      </c>
      <c r="M88" s="8" t="s">
        <v>9</v>
      </c>
      <c r="N88" s="9"/>
      <c r="O88" s="9"/>
    </row>
    <row r="89" spans="2:15" ht="14.4" customHeight="1" x14ac:dyDescent="0.3">
      <c r="B89" s="1">
        <v>81</v>
      </c>
      <c r="C89" s="7" t="s">
        <v>197</v>
      </c>
      <c r="D89" s="7" t="s">
        <v>9</v>
      </c>
      <c r="E89" s="7" t="s">
        <v>9</v>
      </c>
      <c r="F89" s="12"/>
      <c r="G89" s="27"/>
    </row>
    <row r="90" spans="2:15" ht="14.4" customHeight="1" x14ac:dyDescent="0.3">
      <c r="B90" s="1">
        <v>82</v>
      </c>
      <c r="C90" s="7" t="s">
        <v>197</v>
      </c>
      <c r="D90" s="7" t="s">
        <v>9</v>
      </c>
      <c r="E90" s="7" t="s">
        <v>9</v>
      </c>
      <c r="F90" s="12"/>
      <c r="G90" s="27"/>
    </row>
    <row r="91" spans="2:15" ht="14.4" customHeight="1" x14ac:dyDescent="0.3">
      <c r="B91" s="1">
        <v>83</v>
      </c>
      <c r="C91" s="7" t="s">
        <v>197</v>
      </c>
      <c r="D91" s="7" t="s">
        <v>9</v>
      </c>
      <c r="E91" s="7" t="s">
        <v>9</v>
      </c>
      <c r="F91" s="12"/>
      <c r="G91" s="27"/>
    </row>
    <row r="92" spans="2:15" ht="14.4" customHeight="1" x14ac:dyDescent="0.3">
      <c r="B92" s="1">
        <v>84</v>
      </c>
      <c r="C92" s="7" t="s">
        <v>197</v>
      </c>
      <c r="D92" s="7" t="s">
        <v>9</v>
      </c>
      <c r="E92" s="7" t="s">
        <v>9</v>
      </c>
      <c r="F92" s="12"/>
      <c r="G92" s="27"/>
    </row>
    <row r="93" spans="2:15" ht="14.4" customHeight="1" x14ac:dyDescent="0.3">
      <c r="B93" s="1">
        <v>85</v>
      </c>
      <c r="C93" s="7" t="s">
        <v>197</v>
      </c>
      <c r="D93" s="7" t="s">
        <v>9</v>
      </c>
      <c r="E93" s="7" t="s">
        <v>9</v>
      </c>
      <c r="F93" s="12"/>
      <c r="G93" s="27"/>
    </row>
    <row r="94" spans="2:15" ht="14.4" customHeight="1" x14ac:dyDescent="0.3">
      <c r="B94" s="1">
        <v>86</v>
      </c>
      <c r="C94" s="7" t="s">
        <v>197</v>
      </c>
      <c r="D94" s="7" t="s">
        <v>9</v>
      </c>
      <c r="E94" s="7" t="s">
        <v>9</v>
      </c>
      <c r="F94" s="12"/>
      <c r="G94" s="27"/>
    </row>
    <row r="95" spans="2:15" ht="14.4" customHeight="1" x14ac:dyDescent="0.3">
      <c r="B95" s="1">
        <v>87</v>
      </c>
      <c r="C95" s="7" t="s">
        <v>197</v>
      </c>
      <c r="D95" s="7" t="s">
        <v>9</v>
      </c>
      <c r="E95" s="7" t="s">
        <v>9</v>
      </c>
      <c r="F95" s="12"/>
      <c r="G95" s="27"/>
    </row>
    <row r="96" spans="2:15" ht="14.4" customHeight="1" x14ac:dyDescent="0.3">
      <c r="B96" s="1">
        <v>88</v>
      </c>
      <c r="C96" s="7" t="s">
        <v>197</v>
      </c>
      <c r="D96" s="7" t="s">
        <v>9</v>
      </c>
      <c r="E96" s="7" t="s">
        <v>9</v>
      </c>
      <c r="F96" s="12"/>
      <c r="G96" s="27"/>
    </row>
    <row r="97" spans="2:7" ht="14.4" customHeight="1" x14ac:dyDescent="0.3">
      <c r="B97" s="1">
        <v>89</v>
      </c>
      <c r="C97" s="7" t="s">
        <v>197</v>
      </c>
      <c r="D97" s="7" t="s">
        <v>9</v>
      </c>
      <c r="E97" s="7" t="s">
        <v>9</v>
      </c>
      <c r="F97" s="12"/>
      <c r="G97" s="27"/>
    </row>
    <row r="98" spans="2:7" ht="14.4" customHeight="1" x14ac:dyDescent="0.3">
      <c r="B98" s="1">
        <v>90</v>
      </c>
      <c r="C98" s="7" t="s">
        <v>197</v>
      </c>
      <c r="D98" s="7" t="s">
        <v>9</v>
      </c>
      <c r="E98" s="7" t="s">
        <v>9</v>
      </c>
      <c r="F98" s="12"/>
      <c r="G98" s="27"/>
    </row>
    <row r="99" spans="2:7" ht="14.4" customHeight="1" x14ac:dyDescent="0.3">
      <c r="B99" s="1">
        <v>91</v>
      </c>
      <c r="C99" s="7" t="s">
        <v>197</v>
      </c>
      <c r="D99" s="7" t="s">
        <v>9</v>
      </c>
      <c r="E99" s="7" t="s">
        <v>9</v>
      </c>
      <c r="F99" s="12"/>
      <c r="G99" s="27"/>
    </row>
    <row r="100" spans="2:7" ht="14.4" customHeight="1" x14ac:dyDescent="0.3">
      <c r="B100" s="1">
        <v>92</v>
      </c>
      <c r="C100" s="7" t="s">
        <v>197</v>
      </c>
      <c r="D100" s="7" t="s">
        <v>9</v>
      </c>
      <c r="E100" s="7" t="s">
        <v>9</v>
      </c>
      <c r="F100" s="12"/>
      <c r="G100" s="27"/>
    </row>
    <row r="101" spans="2:7" ht="14.4" customHeight="1" x14ac:dyDescent="0.3">
      <c r="B101" s="1">
        <v>93</v>
      </c>
      <c r="C101" s="7" t="s">
        <v>197</v>
      </c>
      <c r="D101" s="7" t="s">
        <v>9</v>
      </c>
      <c r="E101" s="7" t="s">
        <v>9</v>
      </c>
      <c r="F101" s="12"/>
      <c r="G101" s="27"/>
    </row>
    <row r="102" spans="2:7" ht="14.4" customHeight="1" x14ac:dyDescent="0.3">
      <c r="B102" s="1">
        <v>94</v>
      </c>
      <c r="C102" s="7" t="s">
        <v>197</v>
      </c>
      <c r="D102" s="7" t="s">
        <v>9</v>
      </c>
      <c r="E102" s="7" t="s">
        <v>9</v>
      </c>
      <c r="F102" s="12"/>
      <c r="G102" s="27"/>
    </row>
    <row r="103" spans="2:7" ht="14.4" customHeight="1" x14ac:dyDescent="0.3">
      <c r="B103" s="1">
        <v>95</v>
      </c>
      <c r="C103" s="7" t="s">
        <v>197</v>
      </c>
      <c r="D103" s="7" t="s">
        <v>9</v>
      </c>
      <c r="E103" s="7" t="s">
        <v>9</v>
      </c>
      <c r="F103" s="12"/>
      <c r="G103" s="27"/>
    </row>
    <row r="104" spans="2:7" ht="14.4" customHeight="1" x14ac:dyDescent="0.3">
      <c r="B104" s="1">
        <v>96</v>
      </c>
      <c r="C104" s="7" t="s">
        <v>197</v>
      </c>
      <c r="D104" s="7" t="s">
        <v>9</v>
      </c>
      <c r="E104" s="7" t="s">
        <v>9</v>
      </c>
      <c r="F104" s="12"/>
      <c r="G104" s="27"/>
    </row>
    <row r="105" spans="2:7" ht="14.4" customHeight="1" x14ac:dyDescent="0.3">
      <c r="B105" s="1">
        <v>97</v>
      </c>
      <c r="C105" s="7" t="s">
        <v>197</v>
      </c>
      <c r="D105" s="7" t="s">
        <v>9</v>
      </c>
      <c r="E105" s="7" t="s">
        <v>9</v>
      </c>
      <c r="F105" s="12"/>
      <c r="G105" s="27"/>
    </row>
    <row r="106" spans="2:7" ht="14.4" customHeight="1" x14ac:dyDescent="0.3">
      <c r="B106" s="1">
        <v>98</v>
      </c>
      <c r="C106" s="7" t="s">
        <v>197</v>
      </c>
      <c r="D106" s="7" t="s">
        <v>9</v>
      </c>
      <c r="E106" s="7" t="s">
        <v>9</v>
      </c>
      <c r="F106" s="12"/>
      <c r="G106" s="27"/>
    </row>
    <row r="107" spans="2:7" ht="14.4" customHeight="1" x14ac:dyDescent="0.3">
      <c r="B107" s="1">
        <v>99</v>
      </c>
      <c r="C107" s="7" t="s">
        <v>197</v>
      </c>
      <c r="D107" s="7" t="s">
        <v>9</v>
      </c>
      <c r="E107" s="7" t="s">
        <v>9</v>
      </c>
      <c r="F107" s="12"/>
      <c r="G107" s="27"/>
    </row>
    <row r="108" spans="2:7" ht="14.4" customHeight="1" x14ac:dyDescent="0.3">
      <c r="B108" s="1">
        <v>100</v>
      </c>
      <c r="C108" s="7" t="s">
        <v>197</v>
      </c>
      <c r="D108" s="7" t="s">
        <v>9</v>
      </c>
      <c r="E108" s="7" t="s">
        <v>9</v>
      </c>
      <c r="F108" s="12"/>
      <c r="G108" s="27"/>
    </row>
    <row r="109" spans="2:7" ht="14.4" customHeight="1" x14ac:dyDescent="0.3">
      <c r="B109" s="1">
        <v>101</v>
      </c>
      <c r="C109" s="7" t="s">
        <v>197</v>
      </c>
      <c r="D109" s="7" t="s">
        <v>9</v>
      </c>
      <c r="E109" s="7" t="s">
        <v>9</v>
      </c>
      <c r="F109" s="12"/>
      <c r="G109" s="27"/>
    </row>
    <row r="110" spans="2:7" ht="14.4" customHeight="1" x14ac:dyDescent="0.3">
      <c r="B110" s="1">
        <v>102</v>
      </c>
      <c r="C110" s="7" t="s">
        <v>197</v>
      </c>
      <c r="D110" s="7" t="s">
        <v>9</v>
      </c>
      <c r="E110" s="7" t="s">
        <v>9</v>
      </c>
      <c r="F110" s="12"/>
      <c r="G110" s="27"/>
    </row>
    <row r="111" spans="2:7" ht="14.4" customHeight="1" x14ac:dyDescent="0.3">
      <c r="B111" s="1">
        <v>103</v>
      </c>
      <c r="C111" s="7" t="s">
        <v>197</v>
      </c>
      <c r="D111" s="7" t="s">
        <v>9</v>
      </c>
      <c r="E111" s="7" t="s">
        <v>9</v>
      </c>
      <c r="F111" s="12"/>
      <c r="G111" s="27"/>
    </row>
    <row r="112" spans="2:7" ht="14.4" customHeight="1" x14ac:dyDescent="0.3">
      <c r="B112" s="1">
        <v>104</v>
      </c>
      <c r="C112" s="7" t="s">
        <v>197</v>
      </c>
      <c r="D112" s="7" t="s">
        <v>9</v>
      </c>
      <c r="E112" s="7" t="s">
        <v>9</v>
      </c>
      <c r="F112" s="12"/>
      <c r="G112" s="27"/>
    </row>
    <row r="113" spans="2:7" ht="14.4" customHeight="1" x14ac:dyDescent="0.3">
      <c r="B113" s="1">
        <v>105</v>
      </c>
      <c r="C113" s="7" t="s">
        <v>197</v>
      </c>
      <c r="D113" s="7" t="s">
        <v>9</v>
      </c>
      <c r="E113" s="7" t="s">
        <v>9</v>
      </c>
      <c r="F113" s="12"/>
      <c r="G113" s="27"/>
    </row>
    <row r="114" spans="2:7" ht="14.4" customHeight="1" x14ac:dyDescent="0.3">
      <c r="B114" s="1">
        <v>106</v>
      </c>
      <c r="C114" s="7" t="s">
        <v>197</v>
      </c>
      <c r="D114" s="7" t="s">
        <v>9</v>
      </c>
      <c r="E114" s="7" t="s">
        <v>9</v>
      </c>
      <c r="F114" s="12"/>
      <c r="G114" s="27"/>
    </row>
    <row r="115" spans="2:7" ht="14.4" customHeight="1" x14ac:dyDescent="0.3">
      <c r="B115" s="1">
        <v>107</v>
      </c>
      <c r="C115" s="7" t="s">
        <v>197</v>
      </c>
      <c r="D115" s="7" t="s">
        <v>9</v>
      </c>
      <c r="E115" s="7" t="s">
        <v>9</v>
      </c>
      <c r="F115" s="12"/>
      <c r="G115" s="27"/>
    </row>
    <row r="116" spans="2:7" ht="14.4" customHeight="1" x14ac:dyDescent="0.3">
      <c r="B116" s="1">
        <v>108</v>
      </c>
      <c r="C116" s="7" t="s">
        <v>197</v>
      </c>
      <c r="D116" s="7" t="s">
        <v>9</v>
      </c>
      <c r="E116" s="7" t="s">
        <v>9</v>
      </c>
      <c r="F116" s="12"/>
      <c r="G116" s="27"/>
    </row>
    <row r="117" spans="2:7" ht="14.4" customHeight="1" x14ac:dyDescent="0.3">
      <c r="B117" s="1">
        <v>109</v>
      </c>
      <c r="C117" s="7" t="s">
        <v>197</v>
      </c>
      <c r="D117" s="7" t="s">
        <v>9</v>
      </c>
      <c r="E117" s="7" t="s">
        <v>9</v>
      </c>
      <c r="F117" s="12"/>
      <c r="G117" s="27"/>
    </row>
    <row r="118" spans="2:7" ht="14.4" customHeight="1" x14ac:dyDescent="0.3">
      <c r="B118" s="1">
        <v>110</v>
      </c>
      <c r="C118" s="7" t="s">
        <v>197</v>
      </c>
      <c r="D118" s="7" t="s">
        <v>9</v>
      </c>
      <c r="E118" s="7" t="s">
        <v>9</v>
      </c>
      <c r="F118" s="12"/>
      <c r="G118" s="27"/>
    </row>
    <row r="119" spans="2:7" ht="14.4" customHeight="1" x14ac:dyDescent="0.3">
      <c r="B119" s="1">
        <v>111</v>
      </c>
      <c r="C119" s="7" t="s">
        <v>197</v>
      </c>
      <c r="D119" s="7" t="s">
        <v>9</v>
      </c>
      <c r="E119" s="7" t="s">
        <v>9</v>
      </c>
      <c r="F119" s="12"/>
      <c r="G119" s="27"/>
    </row>
    <row r="120" spans="2:7" ht="14.4" customHeight="1" x14ac:dyDescent="0.3">
      <c r="B120" s="1">
        <v>112</v>
      </c>
      <c r="C120" s="7" t="s">
        <v>197</v>
      </c>
      <c r="D120" s="7" t="s">
        <v>9</v>
      </c>
      <c r="E120" s="7" t="s">
        <v>9</v>
      </c>
      <c r="F120" s="12"/>
      <c r="G120" s="27"/>
    </row>
    <row r="121" spans="2:7" ht="14.4" customHeight="1" x14ac:dyDescent="0.3">
      <c r="B121" s="1">
        <v>113</v>
      </c>
      <c r="C121" s="7" t="s">
        <v>197</v>
      </c>
      <c r="D121" s="7" t="s">
        <v>9</v>
      </c>
      <c r="E121" s="7" t="s">
        <v>9</v>
      </c>
      <c r="F121" s="12"/>
      <c r="G121" s="27"/>
    </row>
    <row r="122" spans="2:7" ht="14.4" customHeight="1" x14ac:dyDescent="0.3">
      <c r="B122" s="1">
        <v>114</v>
      </c>
      <c r="C122" s="7" t="s">
        <v>197</v>
      </c>
      <c r="D122" s="7" t="s">
        <v>9</v>
      </c>
      <c r="E122" s="7" t="s">
        <v>9</v>
      </c>
      <c r="F122" s="12"/>
      <c r="G122" s="27"/>
    </row>
    <row r="123" spans="2:7" ht="14.4" customHeight="1" x14ac:dyDescent="0.3">
      <c r="B123" s="1">
        <v>115</v>
      </c>
      <c r="C123" s="7" t="s">
        <v>197</v>
      </c>
      <c r="D123" s="7" t="s">
        <v>9</v>
      </c>
      <c r="E123" s="7" t="s">
        <v>9</v>
      </c>
      <c r="F123" s="12"/>
      <c r="G123" s="27"/>
    </row>
    <row r="124" spans="2:7" ht="14.4" customHeight="1" x14ac:dyDescent="0.3">
      <c r="B124" s="1">
        <v>116</v>
      </c>
      <c r="C124" s="7" t="s">
        <v>197</v>
      </c>
      <c r="D124" s="7" t="s">
        <v>9</v>
      </c>
      <c r="E124" s="7" t="s">
        <v>9</v>
      </c>
      <c r="F124" s="12"/>
      <c r="G124" s="27"/>
    </row>
    <row r="125" spans="2:7" ht="14.4" customHeight="1" x14ac:dyDescent="0.3">
      <c r="B125" s="1">
        <v>117</v>
      </c>
      <c r="C125" s="7" t="s">
        <v>197</v>
      </c>
      <c r="D125" s="7" t="s">
        <v>9</v>
      </c>
      <c r="E125" s="7" t="s">
        <v>9</v>
      </c>
      <c r="F125" s="12"/>
      <c r="G125" s="27"/>
    </row>
    <row r="126" spans="2:7" ht="14.4" customHeight="1" x14ac:dyDescent="0.3">
      <c r="B126" s="1">
        <v>118</v>
      </c>
      <c r="C126" s="7" t="s">
        <v>197</v>
      </c>
      <c r="D126" s="7" t="s">
        <v>9</v>
      </c>
      <c r="E126" s="7" t="s">
        <v>9</v>
      </c>
      <c r="F126" s="12"/>
      <c r="G126" s="27"/>
    </row>
    <row r="127" spans="2:7" ht="14.4" customHeight="1" x14ac:dyDescent="0.3">
      <c r="B127" s="1">
        <v>119</v>
      </c>
      <c r="C127" s="7" t="s">
        <v>197</v>
      </c>
      <c r="D127" s="7" t="s">
        <v>9</v>
      </c>
      <c r="E127" s="7" t="s">
        <v>9</v>
      </c>
      <c r="F127" s="12"/>
      <c r="G127" s="27"/>
    </row>
    <row r="128" spans="2:7" ht="14.4" customHeight="1" x14ac:dyDescent="0.3">
      <c r="B128" s="1">
        <v>120</v>
      </c>
      <c r="C128" s="7" t="s">
        <v>197</v>
      </c>
      <c r="D128" s="7" t="s">
        <v>9</v>
      </c>
      <c r="E128" s="7" t="s">
        <v>9</v>
      </c>
      <c r="F128" s="12"/>
      <c r="G128" s="27"/>
    </row>
    <row r="129" spans="2:7" ht="14.4" customHeight="1" x14ac:dyDescent="0.3">
      <c r="B129" s="1">
        <v>121</v>
      </c>
      <c r="C129" s="7" t="s">
        <v>197</v>
      </c>
      <c r="D129" s="7" t="s">
        <v>9</v>
      </c>
      <c r="E129" s="7" t="s">
        <v>9</v>
      </c>
      <c r="F129" s="12"/>
      <c r="G129" s="27"/>
    </row>
  </sheetData>
  <mergeCells count="3">
    <mergeCell ref="B2:P4"/>
    <mergeCell ref="B6:H7"/>
    <mergeCell ref="J6:P7"/>
  </mergeCells>
  <conditionalFormatting sqref="C9:C129">
    <cfRule type="cellIs" dxfId="92" priority="79" operator="equal">
      <formula>"Sahur"</formula>
    </cfRule>
    <cfRule type="cellIs" dxfId="91" priority="80" operator="equal">
      <formula>"Makan_Malam"</formula>
    </cfRule>
    <cfRule type="cellIs" dxfId="90" priority="81" operator="equal">
      <formula>"Makan_Siang"</formula>
    </cfRule>
    <cfRule type="cellIs" dxfId="89" priority="82" operator="equal">
      <formula>"Sarapan"</formula>
    </cfRule>
    <cfRule type="cellIs" dxfId="88" priority="76" operator="equal">
      <formula>"N_A"</formula>
    </cfRule>
    <cfRule type="cellIs" dxfId="87" priority="77" operator="equal">
      <formula>"Jajan"</formula>
    </cfRule>
    <cfRule type="cellIs" dxfId="86" priority="78" operator="equal">
      <formula>"Buka_Puasa"</formula>
    </cfRule>
  </conditionalFormatting>
  <conditionalFormatting sqref="D9:D129">
    <cfRule type="expression" dxfId="85" priority="408">
      <formula>AND($C9="Sarapan", $D9="Warteg")</formula>
    </cfRule>
    <cfRule type="expression" dxfId="84" priority="399">
      <formula>AND($C9="Makan_Siang", $D9="Gofood")</formula>
    </cfRule>
    <cfRule type="cellIs" dxfId="83" priority="370" operator="equal">
      <formula>"N/A"</formula>
    </cfRule>
    <cfRule type="cellIs" dxfId="82" priority="372" operator="equal">
      <formula>"Biskuit"</formula>
    </cfRule>
    <cfRule type="cellIs" dxfId="81" priority="373" operator="equal">
      <formula>"Es Krim"</formula>
    </cfRule>
    <cfRule type="cellIs" dxfId="80" priority="374" operator="equal">
      <formula>"Minuman Manis"</formula>
    </cfRule>
    <cfRule type="cellIs" dxfId="79" priority="375" operator="equal">
      <formula>"Keripik"</formula>
    </cfRule>
    <cfRule type="expression" dxfId="78" priority="385">
      <formula>AND($C9="Buka_Puasa", $D9="Beli")</formula>
    </cfRule>
    <cfRule type="expression" dxfId="77" priority="386">
      <formula>AND($C9="Buka_Puasa", $D9="Bikin Sendiri")</formula>
    </cfRule>
    <cfRule type="cellIs" dxfId="76" priority="371" operator="equal">
      <formula>"Cokelat"</formula>
    </cfRule>
    <cfRule type="expression" dxfId="75" priority="387">
      <formula>AND($C9="Buka_Puasa", $D9="Warteg")</formula>
    </cfRule>
    <cfRule type="expression" dxfId="74" priority="388">
      <formula>AND($C9="Sahur", $D9="Sate")</formula>
    </cfRule>
    <cfRule type="expression" dxfId="73" priority="389">
      <formula>AND($C9="Sahur", $D9="Bikin Sendiri")</formula>
    </cfRule>
    <cfRule type="expression" dxfId="72" priority="390">
      <formula>AND($C9="Makan_Malam", $D9="Fried Chicken")</formula>
    </cfRule>
    <cfRule type="expression" dxfId="71" priority="391">
      <formula>AND($C9="Makan_Malam", $D9="Burger Bangor")</formula>
    </cfRule>
    <cfRule type="expression" dxfId="70" priority="392">
      <formula>AND($C9="Makan_Malam", $D9="Gofood")</formula>
    </cfRule>
    <cfRule type="expression" dxfId="69" priority="393">
      <formula>AND($C9="Makan_Malam", $D9="Kwetiauw Goreng")</formula>
    </cfRule>
    <cfRule type="expression" dxfId="68" priority="394">
      <formula>AND($C9="Makan_Malam", $D9="Nasi Goreng")</formula>
    </cfRule>
    <cfRule type="expression" dxfId="67" priority="395">
      <formula>AND($C9="Makan_Malam", $D9="Bikin Sendiri")</formula>
    </cfRule>
    <cfRule type="expression" dxfId="66" priority="396">
      <formula>AND($C9="Makan_Malam", $D9="Warteg")</formula>
    </cfRule>
    <cfRule type="expression" dxfId="65" priority="397">
      <formula>AND($C9="Makan_Siang", $D9="Fried Chicken")</formula>
    </cfRule>
    <cfRule type="expression" dxfId="64" priority="398">
      <formula>AND($C9="Makan_Siang", $D9="Burger Bangor")</formula>
    </cfRule>
    <cfRule type="expression" dxfId="63" priority="400">
      <formula>AND($C9="Makan_Siang", $D9="Balsan")</formula>
    </cfRule>
    <cfRule type="expression" dxfId="62" priority="401">
      <formula>AND($C9="Makan_Siang", $D9="FKG")</formula>
    </cfRule>
    <cfRule type="expression" dxfId="61" priority="402">
      <formula>AND($C9="Makan_Siang", $D9="Bikin Sendiri")</formula>
    </cfRule>
    <cfRule type="expression" dxfId="60" priority="403">
      <formula>AND($C9="Makan_Siang", $D9="Warteg")</formula>
    </cfRule>
    <cfRule type="expression" dxfId="59" priority="404">
      <formula>AND($C9="Sarapan", $D9="Gofood")</formula>
    </cfRule>
    <cfRule type="expression" dxfId="58" priority="405">
      <formula>AND($C9="Sarapan", $D9="Nasi Uduk")</formula>
    </cfRule>
    <cfRule type="expression" dxfId="57" priority="406">
      <formula>AND($C9="Sarapan", $D9="Nasi Kuning")</formula>
    </cfRule>
    <cfRule type="expression" dxfId="56" priority="407">
      <formula>AND($C9="Sarapan", $D9="Bikin Sendiri")</formula>
    </cfRule>
  </conditionalFormatting>
  <conditionalFormatting sqref="K9:K88">
    <cfRule type="cellIs" dxfId="55" priority="39" operator="equal">
      <formula>"Pemeliharaan"</formula>
    </cfRule>
    <cfRule type="cellIs" dxfId="54" priority="34" operator="equal">
      <formula>"Bank"</formula>
    </cfRule>
    <cfRule type="cellIs" dxfId="53" priority="35" operator="equal">
      <formula>"Beli"</formula>
    </cfRule>
    <cfRule type="cellIs" dxfId="52" priority="36" operator="equal">
      <formula>"Bluebird"</formula>
    </cfRule>
    <cfRule type="cellIs" dxfId="51" priority="37" operator="equal">
      <formula>"Gojek"</formula>
    </cfRule>
    <cfRule type="cellIs" dxfId="50" priority="38" operator="equal">
      <formula>"Telkomsel"</formula>
    </cfRule>
    <cfRule type="cellIs" dxfId="49" priority="42" operator="equal">
      <formula>"Alfamart"</formula>
    </cfRule>
    <cfRule type="cellIs" dxfId="48" priority="40" operator="equal">
      <formula>"Superindo"</formula>
    </cfRule>
    <cfRule type="cellIs" dxfId="47" priority="41" operator="equal">
      <formula>"Indomaret"</formula>
    </cfRule>
    <cfRule type="cellIs" dxfId="46" priority="31" operator="equal">
      <formula>"N_A"</formula>
    </cfRule>
    <cfRule type="cellIs" dxfId="45" priority="32" operator="equal">
      <formula>"Tokopedia"</formula>
    </cfRule>
    <cfRule type="cellIs" dxfId="44" priority="33" operator="equal">
      <formula>"Event_Lomba"</formula>
    </cfRule>
  </conditionalFormatting>
  <conditionalFormatting sqref="L9:L88">
    <cfRule type="expression" dxfId="43" priority="8">
      <formula>AND($K9="Tokopedia", $L9="Kebutuhan Diri")</formula>
    </cfRule>
    <cfRule type="expression" dxfId="42" priority="9">
      <formula>AND($K9="Tokopedia", $L9="Kebutuhan Kos")</formula>
    </cfRule>
    <cfRule type="expression" dxfId="41" priority="10">
      <formula>AND($K9="Event_Lomba", $L9="Sepeda")</formula>
    </cfRule>
    <cfRule type="expression" dxfId="40" priority="11">
      <formula>AND($K9="Event_Lomba", $L9="Lari")</formula>
    </cfRule>
    <cfRule type="expression" dxfId="39" priority="12">
      <formula>AND($K9="Event_Lomba", $L9="Jalan Kaki")</formula>
    </cfRule>
    <cfRule type="expression" dxfId="38" priority="13">
      <formula>AND($K9="Event_Lomba", $L9="CTF")</formula>
    </cfRule>
    <cfRule type="expression" dxfId="37" priority="14">
      <formula>AND($K9="Bank", $L9="Admin")</formula>
    </cfRule>
    <cfRule type="expression" dxfId="36" priority="15">
      <formula>AND($K9="Beli", $L9="Bensin")</formula>
    </cfRule>
    <cfRule type="expression" dxfId="35" priority="16">
      <formula>AND($K9="Beli", $L9="Galon")</formula>
    </cfRule>
    <cfRule type="expression" dxfId="34" priority="356">
      <formula>AND($K9="Bluebird", $L9="Bayar Argo")</formula>
    </cfRule>
    <cfRule type="expression" dxfId="33" priority="357">
      <formula>AND($K9="Gojek", $L9="Topup Gopay")</formula>
    </cfRule>
    <cfRule type="expression" dxfId="32" priority="358">
      <formula>AND($K9="Telkomsel", $L9="Topup Pulsa")</formula>
    </cfRule>
    <cfRule type="expression" dxfId="31" priority="359">
      <formula>AND($K9="Pemeliharaan", $L9="Laundry")</formula>
    </cfRule>
    <cfRule type="expression" dxfId="30" priority="360">
      <formula>AND($K9="Pemeliharaan", $L9="Cuci Motor")</formula>
    </cfRule>
    <cfRule type="expression" dxfId="29" priority="361">
      <formula>AND($K9="Superindo", $L9="Belanja Mingguan")</formula>
    </cfRule>
    <cfRule type="expression" dxfId="28" priority="366">
      <formula>AND($K9="Alfamart", $L9="Kebutuhan Mandi")</formula>
    </cfRule>
    <cfRule type="expression" dxfId="27" priority="367">
      <formula>AND($K9="Alfamart", $L9="Kebutuhan Diri")</formula>
    </cfRule>
    <cfRule type="expression" dxfId="26" priority="368">
      <formula>AND($K9="Alfamart", $L9="Kebutuhan Kos")</formula>
    </cfRule>
    <cfRule type="expression" dxfId="25" priority="369">
      <formula>AND($K9="Alfamart", $L9="Kebutuhan Dapur")</formula>
    </cfRule>
    <cfRule type="expression" dxfId="24" priority="363">
      <formula>AND($K9="Indomaret", $L9="Kebutuhan Diri")</formula>
    </cfRule>
    <cfRule type="expression" dxfId="23" priority="362">
      <formula>AND($K9="Indomaret", $L9="Kebutuhan Mandi")</formula>
    </cfRule>
    <cfRule type="expression" dxfId="22" priority="364">
      <formula>AND($K9="Indomaret", $L9="Kebutuhan Kos")</formula>
    </cfRule>
    <cfRule type="expression" dxfId="21" priority="365">
      <formula>AND($K9="Indomaret", $L9="Kebutuhan Dapur")</formula>
    </cfRule>
    <cfRule type="cellIs" dxfId="20" priority="7" operator="equal">
      <formula>"N/A"</formula>
    </cfRule>
  </conditionalFormatting>
  <conditionalFormatting sqref="E9:E129 M9:M88">
    <cfRule type="cellIs" dxfId="19" priority="43" operator="equal">
      <formula>"N/A"</formula>
    </cfRule>
    <cfRule type="cellIs" dxfId="18" priority="44" operator="equal">
      <formula>"Digital"</formula>
    </cfRule>
    <cfRule type="cellIs" dxfId="17" priority="45" operator="equal">
      <formula>"Tunai"</formula>
    </cfRule>
  </conditionalFormatting>
  <dataValidations count="4">
    <dataValidation type="list" allowBlank="1" showInputMessage="1" showErrorMessage="1" sqref="E9:E129 M9:M88" xr:uid="{8CEB1EFB-B604-4C64-8D61-E9BFC2F7932D}">
      <formula1>IF(OR(D9="Deposit",D9="Tarik Tunai"),Transisi_NA,Pembayaran)</formula1>
    </dataValidation>
    <dataValidation type="list" allowBlank="1" showInputMessage="1" showErrorMessage="1" sqref="D9:D129 L9:L88" xr:uid="{B26512C4-1718-4B67-BC98-AF1F9CA62AE4}">
      <formula1>INDIRECT(C9)</formula1>
    </dataValidation>
    <dataValidation type="list" allowBlank="1" showInputMessage="1" showErrorMessage="1" sqref="K9:K88" xr:uid="{3A19DD14-96C0-4D04-970E-202732C16A9C}">
      <formula1>"Alfamart, Indomaret, Superindo, Pemeliharaan, Telkomsel, Gojek, Bluebird, Beli, Bank, Event_Lomba, Tokopedia, N_A"</formula1>
    </dataValidation>
    <dataValidation type="list" showInputMessage="1" showErrorMessage="1" sqref="C9:C129" xr:uid="{1B571465-CBBA-4C3E-92E2-FD9ED7620E40}">
      <formula1>"Sarapan, Makan_Siang, Makan_Malam, Sahur, Buka_Puasa, Jajan, N_A,"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54BC9-ACF2-450D-9C7F-09B90FD428F4}">
  <dimension ref="B2:H15"/>
  <sheetViews>
    <sheetView workbookViewId="0">
      <selection activeCell="H8" sqref="H8"/>
    </sheetView>
  </sheetViews>
  <sheetFormatPr defaultRowHeight="14.4" x14ac:dyDescent="0.3"/>
  <cols>
    <col min="1" max="1" width="3.77734375" customWidth="1"/>
    <col min="2" max="2" width="5.6640625" customWidth="1"/>
    <col min="3" max="4" width="20.5546875" customWidth="1"/>
    <col min="5" max="6" width="12.77734375" customWidth="1"/>
    <col min="7" max="7" width="15.5546875" customWidth="1"/>
    <col min="8" max="8" width="17.5546875" customWidth="1"/>
  </cols>
  <sheetData>
    <row r="2" spans="2:8" x14ac:dyDescent="0.3">
      <c r="B2" s="148" t="s">
        <v>60</v>
      </c>
      <c r="C2" s="148"/>
      <c r="D2" s="148"/>
      <c r="E2" s="148"/>
      <c r="F2" s="148"/>
      <c r="G2" s="148"/>
      <c r="H2" s="148"/>
    </row>
    <row r="3" spans="2:8" x14ac:dyDescent="0.3">
      <c r="B3" s="148"/>
      <c r="C3" s="148"/>
      <c r="D3" s="148"/>
      <c r="E3" s="148"/>
      <c r="F3" s="148"/>
      <c r="G3" s="148"/>
      <c r="H3" s="148"/>
    </row>
    <row r="4" spans="2:8" x14ac:dyDescent="0.3">
      <c r="B4" s="148"/>
      <c r="C4" s="148"/>
      <c r="D4" s="148"/>
      <c r="E4" s="148"/>
      <c r="F4" s="148"/>
      <c r="G4" s="148"/>
      <c r="H4" s="148"/>
    </row>
    <row r="5" spans="2:8" x14ac:dyDescent="0.3">
      <c r="B5" s="7" t="s">
        <v>0</v>
      </c>
      <c r="C5" s="7" t="s">
        <v>1</v>
      </c>
      <c r="D5" s="7" t="s">
        <v>2</v>
      </c>
      <c r="E5" s="7" t="s">
        <v>33</v>
      </c>
      <c r="F5" s="7" t="s">
        <v>3</v>
      </c>
      <c r="G5" s="7" t="s">
        <v>196</v>
      </c>
      <c r="H5" s="7" t="s">
        <v>5</v>
      </c>
    </row>
    <row r="6" spans="2:8" x14ac:dyDescent="0.3">
      <c r="B6" s="1">
        <v>1</v>
      </c>
      <c r="C6" s="7" t="s">
        <v>197</v>
      </c>
      <c r="D6" s="7" t="s">
        <v>9</v>
      </c>
      <c r="E6" s="7" t="s">
        <v>9</v>
      </c>
      <c r="F6" s="12"/>
      <c r="G6" s="13"/>
      <c r="H6" s="15">
        <f>Kalkulasi!A30</f>
        <v>0</v>
      </c>
    </row>
    <row r="7" spans="2:8" x14ac:dyDescent="0.3">
      <c r="B7" s="1">
        <v>2</v>
      </c>
      <c r="C7" s="7" t="s">
        <v>197</v>
      </c>
      <c r="D7" s="7" t="s">
        <v>9</v>
      </c>
      <c r="E7" s="7" t="s">
        <v>9</v>
      </c>
      <c r="F7" s="12"/>
      <c r="G7" s="13"/>
      <c r="H7" s="14"/>
    </row>
    <row r="8" spans="2:8" x14ac:dyDescent="0.3">
      <c r="B8" s="1">
        <v>3</v>
      </c>
      <c r="C8" s="7" t="s">
        <v>197</v>
      </c>
      <c r="D8" s="7" t="s">
        <v>9</v>
      </c>
      <c r="E8" s="7" t="s">
        <v>9</v>
      </c>
      <c r="F8" s="12"/>
      <c r="G8" s="13"/>
      <c r="H8" s="14"/>
    </row>
    <row r="9" spans="2:8" x14ac:dyDescent="0.3">
      <c r="B9" s="1">
        <v>4</v>
      </c>
      <c r="C9" s="7" t="s">
        <v>197</v>
      </c>
      <c r="D9" s="7" t="s">
        <v>9</v>
      </c>
      <c r="E9" s="7" t="s">
        <v>9</v>
      </c>
      <c r="F9" s="12"/>
      <c r="G9" s="13"/>
      <c r="H9" s="14"/>
    </row>
    <row r="10" spans="2:8" x14ac:dyDescent="0.3">
      <c r="B10" s="1">
        <v>5</v>
      </c>
      <c r="C10" s="7" t="s">
        <v>197</v>
      </c>
      <c r="D10" s="7" t="s">
        <v>9</v>
      </c>
      <c r="E10" s="7" t="s">
        <v>9</v>
      </c>
      <c r="F10" s="1"/>
      <c r="G10" s="13"/>
      <c r="H10" s="14"/>
    </row>
    <row r="11" spans="2:8" x14ac:dyDescent="0.3">
      <c r="B11" s="1">
        <v>6</v>
      </c>
      <c r="C11" s="7" t="s">
        <v>197</v>
      </c>
      <c r="D11" s="7" t="s">
        <v>9</v>
      </c>
      <c r="E11" s="7" t="s">
        <v>9</v>
      </c>
      <c r="F11" s="1"/>
      <c r="G11" s="13"/>
      <c r="H11" s="14"/>
    </row>
    <row r="12" spans="2:8" x14ac:dyDescent="0.3">
      <c r="B12" s="1">
        <v>7</v>
      </c>
      <c r="C12" s="7" t="s">
        <v>197</v>
      </c>
      <c r="D12" s="7" t="s">
        <v>9</v>
      </c>
      <c r="E12" s="7" t="s">
        <v>9</v>
      </c>
      <c r="F12" s="1"/>
      <c r="G12" s="13"/>
      <c r="H12" s="14"/>
    </row>
    <row r="13" spans="2:8" x14ac:dyDescent="0.3">
      <c r="B13" s="1">
        <v>8</v>
      </c>
      <c r="C13" s="7" t="s">
        <v>197</v>
      </c>
      <c r="D13" s="7" t="s">
        <v>9</v>
      </c>
      <c r="E13" s="7" t="s">
        <v>9</v>
      </c>
      <c r="F13" s="1"/>
      <c r="G13" s="13"/>
      <c r="H13" s="14"/>
    </row>
    <row r="14" spans="2:8" x14ac:dyDescent="0.3">
      <c r="B14" s="1">
        <v>9</v>
      </c>
      <c r="C14" s="7" t="s">
        <v>197</v>
      </c>
      <c r="D14" s="7" t="s">
        <v>9</v>
      </c>
      <c r="E14" s="7" t="s">
        <v>9</v>
      </c>
      <c r="F14" s="1"/>
      <c r="G14" s="13"/>
      <c r="H14" s="14"/>
    </row>
    <row r="15" spans="2:8" x14ac:dyDescent="0.3">
      <c r="B15" s="1">
        <v>10</v>
      </c>
      <c r="C15" s="7" t="s">
        <v>197</v>
      </c>
      <c r="D15" s="7" t="s">
        <v>9</v>
      </c>
      <c r="E15" s="7" t="s">
        <v>9</v>
      </c>
      <c r="F15" s="1"/>
      <c r="G15" s="13"/>
      <c r="H15" s="14"/>
    </row>
  </sheetData>
  <mergeCells count="1">
    <mergeCell ref="B2:H4"/>
  </mergeCells>
  <conditionalFormatting sqref="C6:C15">
    <cfRule type="cellIs" dxfId="16" priority="10" operator="equal">
      <formula>"Pembayaran"</formula>
    </cfRule>
    <cfRule type="cellIs" dxfId="15" priority="11" operator="equal">
      <formula>"N_A"</formula>
    </cfRule>
    <cfRule type="cellIs" dxfId="14" priority="12" operator="equal">
      <formula>"Transisi"</formula>
    </cfRule>
    <cfRule type="cellIs" dxfId="13" priority="13" operator="equal">
      <formula>"Sisa"</formula>
    </cfRule>
    <cfRule type="cellIs" dxfId="12" priority="14" operator="equal">
      <formula>"Uang_Bulanan"</formula>
    </cfRule>
  </conditionalFormatting>
  <conditionalFormatting sqref="D6:D15">
    <cfRule type="cellIs" dxfId="11" priority="1" operator="equal">
      <formula>"Digital"</formula>
    </cfRule>
    <cfRule type="cellIs" dxfId="10" priority="2" operator="equal">
      <formula>"Tunai"</formula>
    </cfRule>
    <cfRule type="cellIs" dxfId="9" priority="3" operator="equal">
      <formula>"N/A"</formula>
    </cfRule>
    <cfRule type="cellIs" dxfId="8" priority="4" operator="equal">
      <formula>"Tarik Tunai"</formula>
    </cfRule>
    <cfRule type="cellIs" dxfId="7" priority="5" operator="equal">
      <formula>"Deposit"</formula>
    </cfRule>
    <cfRule type="cellIs" dxfId="6" priority="6" operator="equal">
      <formula>"Bulan Lalu"</formula>
    </cfRule>
    <cfRule type="cellIs" dxfId="5" priority="7" operator="equal">
      <formula>"Beasiswa"</formula>
    </cfRule>
    <cfRule type="cellIs" dxfId="4" priority="8" operator="equal">
      <formula>"Ortu"</formula>
    </cfRule>
    <cfRule type="cellIs" dxfId="3" priority="9" operator="equal">
      <formula>"Gaji"</formula>
    </cfRule>
  </conditionalFormatting>
  <conditionalFormatting sqref="E6:E15">
    <cfRule type="cellIs" dxfId="2" priority="15" operator="equal">
      <formula>"N/A"</formula>
    </cfRule>
    <cfRule type="cellIs" dxfId="1" priority="16" operator="equal">
      <formula>"Digital"</formula>
    </cfRule>
    <cfRule type="cellIs" dxfId="0" priority="17" operator="equal">
      <formula>"Tunai"</formula>
    </cfRule>
  </conditionalFormatting>
  <dataValidations count="3">
    <dataValidation type="list" allowBlank="1" showInputMessage="1" showErrorMessage="1" sqref="D6:D15" xr:uid="{5E645933-742C-4E5B-8EEF-8F3FA1C5C513}">
      <formula1>INDIRECT(C6)</formula1>
    </dataValidation>
    <dataValidation type="list" allowBlank="1" showInputMessage="1" showErrorMessage="1" sqref="C6:C15" xr:uid="{78969D9D-E5E3-4F28-B65E-4D126E8F6E6F}">
      <formula1>"Uang_Bulanan, Sisa, Transisi, N_A"</formula1>
    </dataValidation>
    <dataValidation type="list" allowBlank="1" showInputMessage="1" showErrorMessage="1" sqref="E6:E15" xr:uid="{DE9256F6-60D4-4058-AA42-595BB5AE5DCE}">
      <formula1>IF(OR(D6="Deposit",D6="Tarik Tunai"),Transisi_NA,Pembayaran)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5399C-72EC-4BFF-98A5-942298D06CCF}">
  <dimension ref="B2:T62"/>
  <sheetViews>
    <sheetView topLeftCell="A25" zoomScale="70" zoomScaleNormal="70" workbookViewId="0">
      <selection activeCell="N48" sqref="N48"/>
    </sheetView>
  </sheetViews>
  <sheetFormatPr defaultColWidth="14.77734375" defaultRowHeight="14.4" x14ac:dyDescent="0.3"/>
  <cols>
    <col min="1" max="1" width="3.77734375" customWidth="1"/>
  </cols>
  <sheetData>
    <row r="2" spans="2:20" ht="14.4" customHeight="1" x14ac:dyDescent="0.3">
      <c r="B2" s="148" t="s">
        <v>201</v>
      </c>
      <c r="C2" s="148"/>
      <c r="D2" s="148"/>
      <c r="E2" s="148"/>
      <c r="F2" s="148"/>
      <c r="G2" s="148"/>
      <c r="H2" s="148"/>
      <c r="J2" s="64" t="s">
        <v>303</v>
      </c>
      <c r="K2" s="65"/>
      <c r="L2" s="65"/>
      <c r="M2" s="65"/>
      <c r="N2" s="65"/>
      <c r="O2" s="65"/>
      <c r="P2" s="65"/>
      <c r="Q2" s="65"/>
      <c r="R2" s="65"/>
      <c r="S2" s="65"/>
      <c r="T2" s="66"/>
    </row>
    <row r="3" spans="2:20" ht="14.4" customHeight="1" x14ac:dyDescent="0.3">
      <c r="B3" s="148"/>
      <c r="C3" s="148"/>
      <c r="D3" s="148"/>
      <c r="E3" s="148"/>
      <c r="F3" s="148"/>
      <c r="G3" s="148"/>
      <c r="H3" s="148"/>
      <c r="J3" s="67"/>
      <c r="K3" s="68"/>
      <c r="L3" s="68"/>
      <c r="M3" s="68"/>
      <c r="N3" s="68"/>
      <c r="O3" s="68"/>
      <c r="P3" s="68"/>
      <c r="Q3" s="68"/>
      <c r="R3" s="68"/>
      <c r="S3" s="68"/>
      <c r="T3" s="69"/>
    </row>
    <row r="4" spans="2:20" ht="14.4" customHeight="1" x14ac:dyDescent="0.3">
      <c r="B4" s="148"/>
      <c r="C4" s="148"/>
      <c r="D4" s="148"/>
      <c r="E4" s="148"/>
      <c r="F4" s="148"/>
      <c r="G4" s="148"/>
      <c r="H4" s="148"/>
      <c r="J4" s="70"/>
      <c r="K4" s="71"/>
      <c r="L4" s="71"/>
      <c r="M4" s="71"/>
      <c r="N4" s="71"/>
      <c r="O4" s="71"/>
      <c r="P4" s="71"/>
      <c r="Q4" s="71"/>
      <c r="R4" s="71"/>
      <c r="S4" s="71"/>
      <c r="T4" s="72"/>
    </row>
    <row r="6" spans="2:20" ht="14.4" customHeight="1" x14ac:dyDescent="0.3">
      <c r="B6" s="196" t="s">
        <v>207</v>
      </c>
      <c r="C6" s="197" t="s">
        <v>208</v>
      </c>
      <c r="D6" s="197" t="s">
        <v>202</v>
      </c>
      <c r="E6" s="197" t="s">
        <v>203</v>
      </c>
      <c r="F6" s="197" t="s">
        <v>204</v>
      </c>
      <c r="G6" s="197" t="s">
        <v>205</v>
      </c>
      <c r="H6" s="197" t="s">
        <v>206</v>
      </c>
      <c r="J6" s="196" t="s">
        <v>210</v>
      </c>
      <c r="K6" s="196"/>
      <c r="L6" s="196" t="s">
        <v>211</v>
      </c>
      <c r="M6" s="196"/>
      <c r="N6" s="196" t="s">
        <v>212</v>
      </c>
      <c r="O6" s="196"/>
      <c r="P6" s="200" t="s">
        <v>214</v>
      </c>
      <c r="Q6" s="200"/>
      <c r="R6" s="196" t="s">
        <v>209</v>
      </c>
      <c r="S6" s="196"/>
      <c r="T6" s="196"/>
    </row>
    <row r="7" spans="2:20" ht="14.4" customHeight="1" x14ac:dyDescent="0.3">
      <c r="B7" s="196"/>
      <c r="C7" s="198"/>
      <c r="D7" s="198"/>
      <c r="E7" s="198"/>
      <c r="F7" s="198"/>
      <c r="G7" s="198"/>
      <c r="H7" s="198"/>
      <c r="J7" s="196"/>
      <c r="K7" s="196"/>
      <c r="L7" s="196"/>
      <c r="M7" s="196"/>
      <c r="N7" s="196"/>
      <c r="O7" s="196"/>
      <c r="P7" s="200"/>
      <c r="Q7" s="200"/>
      <c r="R7" s="196"/>
      <c r="S7" s="196"/>
      <c r="T7" s="196"/>
    </row>
    <row r="8" spans="2:20" ht="14.4" customHeight="1" x14ac:dyDescent="0.3">
      <c r="B8" s="196"/>
      <c r="C8" s="199"/>
      <c r="D8" s="199"/>
      <c r="E8" s="199"/>
      <c r="F8" s="199"/>
      <c r="G8" s="199"/>
      <c r="H8" s="199"/>
      <c r="J8" s="196"/>
      <c r="K8" s="196"/>
      <c r="L8" s="196"/>
      <c r="M8" s="196"/>
      <c r="N8" s="196"/>
      <c r="O8" s="196"/>
      <c r="P8" s="200"/>
      <c r="Q8" s="200"/>
      <c r="R8" s="196"/>
      <c r="S8" s="196"/>
      <c r="T8" s="196"/>
    </row>
    <row r="9" spans="2:20" ht="14.4" customHeight="1" x14ac:dyDescent="0.3">
      <c r="B9" s="18">
        <v>45962</v>
      </c>
      <c r="C9" s="18">
        <v>45963</v>
      </c>
      <c r="D9" s="18">
        <v>45964</v>
      </c>
      <c r="E9" s="18">
        <v>45965</v>
      </c>
      <c r="F9" s="18">
        <v>45966</v>
      </c>
      <c r="G9" s="18">
        <v>45967</v>
      </c>
      <c r="H9" s="18">
        <v>45968</v>
      </c>
      <c r="J9" s="206">
        <f>Kalkulasi!H35</f>
        <v>0</v>
      </c>
      <c r="K9" s="206"/>
      <c r="L9" s="206">
        <f>Kalkulasi!I35</f>
        <v>0</v>
      </c>
      <c r="M9" s="206"/>
      <c r="N9" s="206">
        <f>Kalkulasi!J35</f>
        <v>0</v>
      </c>
      <c r="O9" s="206"/>
      <c r="P9" s="209">
        <f>Kalkulasi!K35</f>
        <v>0</v>
      </c>
      <c r="Q9" s="209"/>
      <c r="R9" s="174" t="str">
        <f>Kalkulasi!H38</f>
        <v>Tetap 😐</v>
      </c>
      <c r="S9" s="201"/>
      <c r="T9" s="150"/>
    </row>
    <row r="10" spans="2:20" ht="14.4" customHeight="1" x14ac:dyDescent="0.3">
      <c r="B10" s="192">
        <f>Kalkulasi!A35</f>
        <v>0</v>
      </c>
      <c r="C10" s="192">
        <f>Kalkulasi!B35</f>
        <v>0</v>
      </c>
      <c r="D10" s="192">
        <f>Kalkulasi!C35</f>
        <v>0</v>
      </c>
      <c r="E10" s="192">
        <f>Kalkulasi!D35</f>
        <v>0</v>
      </c>
      <c r="F10" s="192">
        <f>Kalkulasi!E35</f>
        <v>0</v>
      </c>
      <c r="G10" s="192">
        <f>Kalkulasi!F35</f>
        <v>0</v>
      </c>
      <c r="H10" s="192">
        <f>Kalkulasi!G35</f>
        <v>0</v>
      </c>
      <c r="J10" s="206"/>
      <c r="K10" s="206"/>
      <c r="L10" s="206"/>
      <c r="M10" s="206"/>
      <c r="N10" s="206"/>
      <c r="O10" s="206"/>
      <c r="P10" s="209"/>
      <c r="Q10" s="209"/>
      <c r="R10" s="202"/>
      <c r="S10" s="203"/>
      <c r="T10" s="204"/>
    </row>
    <row r="11" spans="2:20" ht="14.4" customHeight="1" x14ac:dyDescent="0.3">
      <c r="B11" s="193"/>
      <c r="C11" s="193"/>
      <c r="D11" s="193"/>
      <c r="E11" s="193"/>
      <c r="F11" s="193"/>
      <c r="G11" s="193"/>
      <c r="H11" s="193"/>
      <c r="J11" s="206"/>
      <c r="K11" s="206"/>
      <c r="L11" s="206"/>
      <c r="M11" s="206"/>
      <c r="N11" s="206"/>
      <c r="O11" s="206"/>
      <c r="P11" s="209"/>
      <c r="Q11" s="209"/>
      <c r="R11" s="151"/>
      <c r="S11" s="205"/>
      <c r="T11" s="152"/>
    </row>
    <row r="12" spans="2:20" x14ac:dyDescent="0.3">
      <c r="B12" s="194"/>
      <c r="C12" s="194"/>
      <c r="D12" s="194"/>
      <c r="E12" s="194"/>
      <c r="F12" s="194"/>
      <c r="G12" s="194"/>
      <c r="H12" s="194"/>
    </row>
    <row r="13" spans="2:20" ht="14.4" customHeight="1" x14ac:dyDescent="0.3">
      <c r="B13" s="18">
        <v>45969</v>
      </c>
      <c r="C13" s="18">
        <v>45970</v>
      </c>
      <c r="D13" s="18">
        <v>45971</v>
      </c>
      <c r="E13" s="18">
        <v>45972</v>
      </c>
      <c r="F13" s="18">
        <v>45973</v>
      </c>
      <c r="G13" s="18">
        <v>45974</v>
      </c>
      <c r="H13" s="18">
        <v>45975</v>
      </c>
      <c r="J13" s="196" t="s">
        <v>213</v>
      </c>
      <c r="K13" s="196"/>
      <c r="L13" s="196" t="s">
        <v>31</v>
      </c>
      <c r="M13" s="196"/>
      <c r="N13" s="200" t="s">
        <v>308</v>
      </c>
      <c r="O13" s="200"/>
      <c r="P13" s="200" t="s">
        <v>215</v>
      </c>
      <c r="Q13" s="200"/>
      <c r="R13" s="196" t="s">
        <v>209</v>
      </c>
      <c r="S13" s="196"/>
      <c r="T13" s="196"/>
    </row>
    <row r="14" spans="2:20" ht="14.4" customHeight="1" x14ac:dyDescent="0.3">
      <c r="B14" s="192">
        <f>Kalkulasi!A38</f>
        <v>0</v>
      </c>
      <c r="C14" s="192">
        <f>Kalkulasi!B38</f>
        <v>0</v>
      </c>
      <c r="D14" s="192">
        <f>Kalkulasi!C38</f>
        <v>0</v>
      </c>
      <c r="E14" s="192">
        <f>Kalkulasi!D38</f>
        <v>0</v>
      </c>
      <c r="F14" s="192">
        <f>Kalkulasi!E38</f>
        <v>0</v>
      </c>
      <c r="G14" s="192">
        <f>Kalkulasi!F38</f>
        <v>0</v>
      </c>
      <c r="H14" s="192">
        <f>Kalkulasi!G38</f>
        <v>0</v>
      </c>
      <c r="J14" s="196"/>
      <c r="K14" s="196"/>
      <c r="L14" s="196"/>
      <c r="M14" s="196"/>
      <c r="N14" s="200"/>
      <c r="O14" s="200"/>
      <c r="P14" s="200"/>
      <c r="Q14" s="200"/>
      <c r="R14" s="196"/>
      <c r="S14" s="196"/>
      <c r="T14" s="196"/>
    </row>
    <row r="15" spans="2:20" ht="14.4" customHeight="1" x14ac:dyDescent="0.3">
      <c r="B15" s="193"/>
      <c r="C15" s="193"/>
      <c r="D15" s="193"/>
      <c r="E15" s="193"/>
      <c r="F15" s="193"/>
      <c r="G15" s="193"/>
      <c r="H15" s="193"/>
      <c r="J15" s="196"/>
      <c r="K15" s="196"/>
      <c r="L15" s="196"/>
      <c r="M15" s="196"/>
      <c r="N15" s="200"/>
      <c r="O15" s="200"/>
      <c r="P15" s="200"/>
      <c r="Q15" s="200"/>
      <c r="R15" s="196"/>
      <c r="S15" s="196"/>
      <c r="T15" s="196"/>
    </row>
    <row r="16" spans="2:20" ht="14.4" customHeight="1" x14ac:dyDescent="0.3">
      <c r="B16" s="194"/>
      <c r="C16" s="194"/>
      <c r="D16" s="194"/>
      <c r="E16" s="194"/>
      <c r="F16" s="194"/>
      <c r="G16" s="194"/>
      <c r="H16" s="194"/>
      <c r="J16" s="208">
        <f>Kalkulasi!H41</f>
        <v>0</v>
      </c>
      <c r="K16" s="208"/>
      <c r="L16" s="208">
        <f>Kalkulasi!I41</f>
        <v>0</v>
      </c>
      <c r="M16" s="208"/>
      <c r="N16" s="208">
        <f>Kalkulasi!J41</f>
        <v>0</v>
      </c>
      <c r="O16" s="208"/>
      <c r="P16" s="207">
        <f>Kalkulasi!K41</f>
        <v>0</v>
      </c>
      <c r="Q16" s="207"/>
      <c r="R16" s="174" t="str">
        <f>Kalkulasi!H44</f>
        <v>Positif ✅</v>
      </c>
      <c r="S16" s="201"/>
      <c r="T16" s="150"/>
    </row>
    <row r="17" spans="2:20" ht="14.4" customHeight="1" x14ac:dyDescent="0.3">
      <c r="B17" s="18">
        <v>45976</v>
      </c>
      <c r="C17" s="18">
        <v>45977</v>
      </c>
      <c r="D17" s="18">
        <v>45978</v>
      </c>
      <c r="E17" s="18">
        <v>45979</v>
      </c>
      <c r="F17" s="18">
        <v>45980</v>
      </c>
      <c r="G17" s="18">
        <v>45981</v>
      </c>
      <c r="H17" s="18">
        <v>45982</v>
      </c>
      <c r="J17" s="208"/>
      <c r="K17" s="208"/>
      <c r="L17" s="208"/>
      <c r="M17" s="208"/>
      <c r="N17" s="208"/>
      <c r="O17" s="208"/>
      <c r="P17" s="207"/>
      <c r="Q17" s="207"/>
      <c r="R17" s="202"/>
      <c r="S17" s="203"/>
      <c r="T17" s="204"/>
    </row>
    <row r="18" spans="2:20" ht="14.4" customHeight="1" x14ac:dyDescent="0.3">
      <c r="B18" s="192">
        <f>Kalkulasi!A41</f>
        <v>0</v>
      </c>
      <c r="C18" s="192">
        <f>Kalkulasi!B41</f>
        <v>0</v>
      </c>
      <c r="D18" s="192">
        <f>Kalkulasi!C41</f>
        <v>0</v>
      </c>
      <c r="E18" s="192">
        <f>Kalkulasi!D41</f>
        <v>0</v>
      </c>
      <c r="F18" s="192">
        <f>Kalkulasi!E41</f>
        <v>0</v>
      </c>
      <c r="G18" s="192">
        <f>Kalkulasi!F41</f>
        <v>0</v>
      </c>
      <c r="H18" s="192">
        <f>Kalkulasi!G41</f>
        <v>0</v>
      </c>
      <c r="J18" s="208"/>
      <c r="K18" s="208"/>
      <c r="L18" s="208"/>
      <c r="M18" s="208"/>
      <c r="N18" s="208"/>
      <c r="O18" s="208"/>
      <c r="P18" s="207"/>
      <c r="Q18" s="207"/>
      <c r="R18" s="151"/>
      <c r="S18" s="205"/>
      <c r="T18" s="152"/>
    </row>
    <row r="19" spans="2:20" x14ac:dyDescent="0.3">
      <c r="B19" s="193"/>
      <c r="C19" s="193"/>
      <c r="D19" s="193"/>
      <c r="E19" s="193"/>
      <c r="F19" s="193"/>
      <c r="G19" s="193"/>
      <c r="H19" s="193"/>
    </row>
    <row r="20" spans="2:20" ht="14.4" customHeight="1" x14ac:dyDescent="0.3">
      <c r="B20" s="194"/>
      <c r="C20" s="194"/>
      <c r="D20" s="194"/>
      <c r="E20" s="194"/>
      <c r="F20" s="194"/>
      <c r="G20" s="194"/>
      <c r="H20" s="194"/>
    </row>
    <row r="21" spans="2:20" ht="14.4" customHeight="1" x14ac:dyDescent="0.3">
      <c r="B21" s="18">
        <v>45983</v>
      </c>
      <c r="C21" s="18">
        <v>45984</v>
      </c>
      <c r="D21" s="18">
        <v>45985</v>
      </c>
      <c r="E21" s="18">
        <v>45986</v>
      </c>
      <c r="F21" s="18">
        <v>45987</v>
      </c>
      <c r="G21" s="18">
        <v>45988</v>
      </c>
      <c r="H21" s="18">
        <v>45989</v>
      </c>
    </row>
    <row r="22" spans="2:20" ht="14.4" customHeight="1" x14ac:dyDescent="0.3">
      <c r="B22" s="192">
        <f>Kalkulasi!A44</f>
        <v>0</v>
      </c>
      <c r="C22" s="192">
        <f>Kalkulasi!B44</f>
        <v>0</v>
      </c>
      <c r="D22" s="192">
        <f>Kalkulasi!C44</f>
        <v>0</v>
      </c>
      <c r="E22" s="192">
        <f>Kalkulasi!D44</f>
        <v>0</v>
      </c>
      <c r="F22" s="192">
        <f>Kalkulasi!E44</f>
        <v>0</v>
      </c>
      <c r="G22" s="192">
        <f>Kalkulasi!F44</f>
        <v>0</v>
      </c>
      <c r="H22" s="192">
        <f>Kalkulasi!G44</f>
        <v>0</v>
      </c>
    </row>
    <row r="23" spans="2:20" ht="14.4" customHeight="1" x14ac:dyDescent="0.3">
      <c r="B23" s="193"/>
      <c r="C23" s="193"/>
      <c r="D23" s="193"/>
      <c r="E23" s="193"/>
      <c r="F23" s="193"/>
      <c r="G23" s="193"/>
      <c r="H23" s="193"/>
    </row>
    <row r="24" spans="2:20" ht="14.4" customHeight="1" x14ac:dyDescent="0.3">
      <c r="B24" s="194"/>
      <c r="C24" s="194"/>
      <c r="D24" s="194"/>
      <c r="E24" s="194"/>
      <c r="F24" s="194"/>
      <c r="G24" s="194"/>
      <c r="H24" s="194"/>
    </row>
    <row r="25" spans="2:20" ht="14.4" customHeight="1" x14ac:dyDescent="0.3">
      <c r="B25" s="18">
        <v>45990</v>
      </c>
      <c r="C25" s="18">
        <v>45991</v>
      </c>
      <c r="D25" s="19"/>
      <c r="E25" s="19"/>
      <c r="F25" s="19"/>
      <c r="G25" s="19"/>
      <c r="H25" s="19"/>
    </row>
    <row r="26" spans="2:20" ht="14.4" customHeight="1" x14ac:dyDescent="0.3">
      <c r="B26" s="192">
        <f>Kalkulasi!A47</f>
        <v>0</v>
      </c>
      <c r="C26" s="192">
        <f>Kalkulasi!B47</f>
        <v>0</v>
      </c>
      <c r="D26" s="195"/>
      <c r="E26" s="195"/>
      <c r="F26" s="195"/>
      <c r="G26" s="195"/>
      <c r="H26" s="195"/>
    </row>
    <row r="27" spans="2:20" ht="14.4" customHeight="1" x14ac:dyDescent="0.3">
      <c r="B27" s="193"/>
      <c r="C27" s="193"/>
      <c r="D27" s="195"/>
      <c r="E27" s="195"/>
      <c r="F27" s="195"/>
      <c r="G27" s="195"/>
      <c r="H27" s="195"/>
    </row>
    <row r="28" spans="2:20" ht="14.4" customHeight="1" x14ac:dyDescent="0.3">
      <c r="B28" s="194"/>
      <c r="C28" s="194"/>
      <c r="D28" s="195"/>
      <c r="E28" s="195"/>
      <c r="F28" s="195"/>
      <c r="G28" s="195"/>
      <c r="H28" s="195"/>
    </row>
    <row r="29" spans="2:20" ht="14.4" customHeight="1" x14ac:dyDescent="0.3"/>
    <row r="30" spans="2:20" ht="14.4" customHeight="1" x14ac:dyDescent="0.3"/>
    <row r="31" spans="2:20" ht="14.4" customHeight="1" x14ac:dyDescent="0.3"/>
    <row r="32" spans="2:20" ht="14.4" customHeight="1" x14ac:dyDescent="0.3">
      <c r="B32" s="179" t="s">
        <v>6</v>
      </c>
      <c r="C32" s="180"/>
      <c r="D32" s="183" t="s">
        <v>196</v>
      </c>
      <c r="E32" s="179" t="s">
        <v>193</v>
      </c>
      <c r="F32" s="180"/>
      <c r="G32" s="183" t="s">
        <v>196</v>
      </c>
      <c r="H32" s="179" t="s">
        <v>194</v>
      </c>
      <c r="I32" s="180"/>
      <c r="J32" s="183" t="s">
        <v>196</v>
      </c>
      <c r="K32" s="179" t="s">
        <v>190</v>
      </c>
      <c r="L32" s="180"/>
      <c r="M32" s="183" t="s">
        <v>196</v>
      </c>
      <c r="N32" s="179" t="s">
        <v>70</v>
      </c>
      <c r="O32" s="180"/>
      <c r="P32" s="183" t="s">
        <v>196</v>
      </c>
      <c r="Q32" s="179" t="s">
        <v>195</v>
      </c>
      <c r="R32" s="180"/>
      <c r="S32" s="183" t="s">
        <v>196</v>
      </c>
    </row>
    <row r="33" spans="2:19" ht="14.4" customHeight="1" x14ac:dyDescent="0.3">
      <c r="B33" s="181"/>
      <c r="C33" s="182"/>
      <c r="D33" s="184"/>
      <c r="E33" s="181"/>
      <c r="F33" s="182"/>
      <c r="G33" s="184"/>
      <c r="H33" s="181"/>
      <c r="I33" s="182"/>
      <c r="J33" s="184"/>
      <c r="K33" s="181"/>
      <c r="L33" s="182"/>
      <c r="M33" s="184"/>
      <c r="N33" s="181"/>
      <c r="O33" s="182"/>
      <c r="P33" s="184"/>
      <c r="Q33" s="181"/>
      <c r="R33" s="182"/>
      <c r="S33" s="184"/>
    </row>
    <row r="34" spans="2:19" ht="14.4" customHeight="1" x14ac:dyDescent="0.3">
      <c r="B34" s="185" t="s">
        <v>18</v>
      </c>
      <c r="C34" s="187">
        <f>Kalkulasi!B50</f>
        <v>0</v>
      </c>
      <c r="D34" s="189">
        <f>COUNTIFS(Pengeluaran!$C$9:$C$129, 'Akhir Bulan'!$B$32, Pengeluaran!$D$9:$D$129, 'Akhir Bulan'!B34)</f>
        <v>0</v>
      </c>
      <c r="E34" s="185" t="s">
        <v>18</v>
      </c>
      <c r="F34" s="187">
        <f>Kalkulasi!D50</f>
        <v>0</v>
      </c>
      <c r="G34" s="189">
        <f>COUNTIFS(Pengeluaran!$C$9:$C$129, 'Akhir Bulan'!$E$32, Pengeluaran!$D$9:$D$129, 'Akhir Bulan'!E34)</f>
        <v>0</v>
      </c>
      <c r="H34" s="185" t="s">
        <v>18</v>
      </c>
      <c r="I34" s="187">
        <f>Kalkulasi!F50</f>
        <v>0</v>
      </c>
      <c r="J34" s="189">
        <f>COUNTIFS(Pengeluaran!$C$9:$C$129, 'Akhir Bulan'!$H$32, Pengeluaran!$D$9:$D$129, 'Akhir Bulan'!H34)</f>
        <v>0</v>
      </c>
      <c r="K34" s="185" t="s">
        <v>178</v>
      </c>
      <c r="L34" s="187">
        <f>Kalkulasi!H50</f>
        <v>0</v>
      </c>
      <c r="M34" s="189">
        <f>COUNTIFS(Pengeluaran!$C$9:$C$129, 'Akhir Bulan'!$K$32, Pengeluaran!$D$9:$D$129, 'Akhir Bulan'!K34)</f>
        <v>0</v>
      </c>
      <c r="N34" s="185" t="s">
        <v>28</v>
      </c>
      <c r="O34" s="187">
        <f>Kalkulasi!J50</f>
        <v>0</v>
      </c>
      <c r="P34" s="189">
        <f>COUNTIFS(Pengeluaran!$C$9:$C$129, 'Akhir Bulan'!$N$32, Pengeluaran!$D$9:$D$129, 'Akhir Bulan'!N34)</f>
        <v>0</v>
      </c>
      <c r="Q34" s="185" t="s">
        <v>18</v>
      </c>
      <c r="R34" s="187">
        <f>Kalkulasi!L50</f>
        <v>0</v>
      </c>
      <c r="S34" s="189">
        <f>COUNTIFS(Pengeluaran!$C$9:$C$129, 'Akhir Bulan'!$Q$32, Pengeluaran!$D$9:$D$129, 'Akhir Bulan'!Q34)</f>
        <v>0</v>
      </c>
    </row>
    <row r="35" spans="2:19" ht="14.4" customHeight="1" x14ac:dyDescent="0.3">
      <c r="B35" s="186"/>
      <c r="C35" s="188"/>
      <c r="D35" s="189"/>
      <c r="E35" s="186"/>
      <c r="F35" s="188"/>
      <c r="G35" s="189"/>
      <c r="H35" s="186"/>
      <c r="I35" s="188"/>
      <c r="J35" s="189"/>
      <c r="K35" s="186"/>
      <c r="L35" s="188"/>
      <c r="M35" s="189"/>
      <c r="N35" s="186"/>
      <c r="O35" s="188"/>
      <c r="P35" s="189"/>
      <c r="Q35" s="186"/>
      <c r="R35" s="188"/>
      <c r="S35" s="189"/>
    </row>
    <row r="36" spans="2:19" ht="14.4" customHeight="1" x14ac:dyDescent="0.3">
      <c r="B36" s="185" t="s">
        <v>28</v>
      </c>
      <c r="C36" s="187">
        <f>Kalkulasi!B51</f>
        <v>0</v>
      </c>
      <c r="D36" s="189">
        <f>COUNTIFS(Pengeluaran!$C$9:$C$129, 'Akhir Bulan'!$B$32, Pengeluaran!$D$9:$D$129, 'Akhir Bulan'!B36)</f>
        <v>0</v>
      </c>
      <c r="E36" s="185" t="s">
        <v>28</v>
      </c>
      <c r="F36" s="187">
        <f>Kalkulasi!D51</f>
        <v>0</v>
      </c>
      <c r="G36" s="189">
        <f>COUNTIFS(Pengeluaran!$C$9:$C$129, 'Akhir Bulan'!$E$32, Pengeluaran!$D$9:$D$129, 'Akhir Bulan'!E36)</f>
        <v>0</v>
      </c>
      <c r="H36" s="185" t="s">
        <v>28</v>
      </c>
      <c r="I36" s="187">
        <f>Kalkulasi!F51</f>
        <v>0</v>
      </c>
      <c r="J36" s="189">
        <f>COUNTIFS(Pengeluaran!$C$9:$C$129, 'Akhir Bulan'!$H$32, Pengeluaran!$D$9:$D$129, 'Akhir Bulan'!H36)</f>
        <v>0</v>
      </c>
      <c r="K36" s="190" t="s">
        <v>91</v>
      </c>
      <c r="L36" s="187">
        <f>Kalkulasi!H51</f>
        <v>0</v>
      </c>
      <c r="M36" s="189">
        <f>COUNTIFS(Pengeluaran!$C$9:$C$129, 'Akhir Bulan'!$K$32, Pengeluaran!$D$9:$D$129, 'Akhir Bulan'!K36)</f>
        <v>0</v>
      </c>
      <c r="N36" s="185" t="s">
        <v>97</v>
      </c>
      <c r="O36" s="187">
        <f>Kalkulasi!J51</f>
        <v>0</v>
      </c>
      <c r="P36" s="189">
        <f>COUNTIFS(Pengeluaran!$C$9:$C$129, 'Akhir Bulan'!$N$32, Pengeluaran!$D$9:$D$129, 'Akhir Bulan'!N36)</f>
        <v>0</v>
      </c>
      <c r="Q36" s="185" t="s">
        <v>28</v>
      </c>
      <c r="R36" s="187">
        <f>Kalkulasi!L51</f>
        <v>0</v>
      </c>
      <c r="S36" s="189">
        <f>COUNTIFS(Pengeluaran!$C$9:$C$129, 'Akhir Bulan'!$Q$32, Pengeluaran!$D$9:$D$129, 'Akhir Bulan'!Q36)</f>
        <v>0</v>
      </c>
    </row>
    <row r="37" spans="2:19" ht="14.4" customHeight="1" x14ac:dyDescent="0.3">
      <c r="B37" s="186"/>
      <c r="C37" s="188"/>
      <c r="D37" s="189"/>
      <c r="E37" s="186"/>
      <c r="F37" s="188"/>
      <c r="G37" s="189"/>
      <c r="H37" s="186"/>
      <c r="I37" s="188"/>
      <c r="J37" s="189"/>
      <c r="K37" s="191"/>
      <c r="L37" s="188"/>
      <c r="M37" s="189"/>
      <c r="N37" s="186"/>
      <c r="O37" s="188"/>
      <c r="P37" s="189"/>
      <c r="Q37" s="186"/>
      <c r="R37" s="188"/>
      <c r="S37" s="189"/>
    </row>
    <row r="38" spans="2:19" ht="14.4" customHeight="1" x14ac:dyDescent="0.3">
      <c r="B38" s="185" t="s">
        <v>22</v>
      </c>
      <c r="C38" s="187">
        <f>Kalkulasi!B52</f>
        <v>0</v>
      </c>
      <c r="D38" s="189">
        <f>COUNTIFS(Pengeluaran!$C$9:$C$129, 'Akhir Bulan'!$B$32, Pengeluaran!$D$9:$D$129, 'Akhir Bulan'!B38)</f>
        <v>0</v>
      </c>
      <c r="E38" s="185" t="s">
        <v>27</v>
      </c>
      <c r="F38" s="187">
        <f>Kalkulasi!D52</f>
        <v>0</v>
      </c>
      <c r="G38" s="189">
        <f>COUNTIFS(Pengeluaran!$C$9:$C$129, 'Akhir Bulan'!$E$32, Pengeluaran!$D$9:$D$129, 'Akhir Bulan'!E38)</f>
        <v>0</v>
      </c>
      <c r="H38" s="185" t="s">
        <v>23</v>
      </c>
      <c r="I38" s="187">
        <f>Kalkulasi!F52</f>
        <v>0</v>
      </c>
      <c r="J38" s="189">
        <f>COUNTIFS(Pengeluaran!$C$9:$C$129, 'Akhir Bulan'!$H$32, Pengeluaran!$D$9:$D$129, 'Akhir Bulan'!H38)</f>
        <v>0</v>
      </c>
      <c r="K38" s="185" t="s">
        <v>92</v>
      </c>
      <c r="L38" s="187">
        <f>Kalkulasi!H52</f>
        <v>0</v>
      </c>
      <c r="M38" s="189">
        <f>COUNTIFS(Pengeluaran!$C$9:$C$129, 'Akhir Bulan'!$K$32, Pengeluaran!$D$9:$D$129, 'Akhir Bulan'!K38)</f>
        <v>0</v>
      </c>
      <c r="Q38" s="185" t="s">
        <v>65</v>
      </c>
      <c r="R38" s="187">
        <f>Kalkulasi!L52</f>
        <v>0</v>
      </c>
      <c r="S38" s="189">
        <f>COUNTIFS(Pengeluaran!$C$9:$C$129, 'Akhir Bulan'!$Q$32, Pengeluaran!$D$9:$D$129, 'Akhir Bulan'!Q38)</f>
        <v>0</v>
      </c>
    </row>
    <row r="39" spans="2:19" ht="14.4" customHeight="1" x14ac:dyDescent="0.3">
      <c r="B39" s="186"/>
      <c r="C39" s="188"/>
      <c r="D39" s="189"/>
      <c r="E39" s="186"/>
      <c r="F39" s="188"/>
      <c r="G39" s="189"/>
      <c r="H39" s="186"/>
      <c r="I39" s="188"/>
      <c r="J39" s="189"/>
      <c r="K39" s="186"/>
      <c r="L39" s="188"/>
      <c r="M39" s="189"/>
      <c r="Q39" s="186"/>
      <c r="R39" s="188"/>
      <c r="S39" s="189"/>
    </row>
    <row r="40" spans="2:19" ht="14.4" customHeight="1" x14ac:dyDescent="0.3">
      <c r="B40" s="185" t="s">
        <v>87</v>
      </c>
      <c r="C40" s="187">
        <f>Kalkulasi!B53</f>
        <v>0</v>
      </c>
      <c r="D40" s="189">
        <f>COUNTIFS(Pengeluaran!$C$9:$C$129, 'Akhir Bulan'!$B$32, Pengeluaran!$D$9:$D$129, 'Akhir Bulan'!B40)</f>
        <v>0</v>
      </c>
      <c r="E40" s="185" t="s">
        <v>19</v>
      </c>
      <c r="F40" s="187">
        <f>Kalkulasi!D53</f>
        <v>0</v>
      </c>
      <c r="G40" s="189">
        <f>COUNTIFS(Pengeluaran!$C$9:$C$129, 'Akhir Bulan'!$E$32, Pengeluaran!$D$9:$D$129, 'Akhir Bulan'!E40)</f>
        <v>0</v>
      </c>
      <c r="H40" s="190" t="s">
        <v>88</v>
      </c>
      <c r="I40" s="187">
        <f>Kalkulasi!F53</f>
        <v>0</v>
      </c>
      <c r="J40" s="189">
        <f>COUNTIFS(Pengeluaran!$C$9:$C$129, 'Akhir Bulan'!$H$32, Pengeluaran!$D$9:$D$129, 'Akhir Bulan'!H40)</f>
        <v>0</v>
      </c>
      <c r="K40" s="185" t="s">
        <v>179</v>
      </c>
      <c r="L40" s="187">
        <f>Kalkulasi!H53</f>
        <v>0</v>
      </c>
      <c r="M40" s="189">
        <f>COUNTIFS(Pengeluaran!$C$9:$C$129, 'Akhir Bulan'!$K$32, Pengeluaran!$D$9:$D$129, 'Akhir Bulan'!K40)</f>
        <v>0</v>
      </c>
    </row>
    <row r="41" spans="2:19" ht="14.4" customHeight="1" x14ac:dyDescent="0.3">
      <c r="B41" s="186"/>
      <c r="C41" s="188"/>
      <c r="D41" s="189"/>
      <c r="E41" s="186"/>
      <c r="F41" s="188"/>
      <c r="G41" s="189"/>
      <c r="H41" s="191"/>
      <c r="I41" s="188"/>
      <c r="J41" s="189"/>
      <c r="K41" s="186"/>
      <c r="L41" s="188"/>
      <c r="M41" s="189"/>
    </row>
    <row r="42" spans="2:19" ht="14.4" customHeight="1" x14ac:dyDescent="0.3">
      <c r="B42" s="185" t="s">
        <v>26</v>
      </c>
      <c r="C42" s="187">
        <f>Kalkulasi!B54</f>
        <v>0</v>
      </c>
      <c r="D42" s="189">
        <f>COUNTIFS(Pengeluaran!$C$9:$C$129, 'Akhir Bulan'!$B$32, Pengeluaran!$D$9:$D$129, 'Akhir Bulan'!B42)</f>
        <v>0</v>
      </c>
      <c r="E42" s="185" t="s">
        <v>26</v>
      </c>
      <c r="F42" s="187">
        <f>Kalkulasi!D54</f>
        <v>0</v>
      </c>
      <c r="G42" s="189">
        <f>COUNTIFS(Pengeluaran!$C$9:$C$129, 'Akhir Bulan'!$E$32, Pengeluaran!$D$9:$D$129, 'Akhir Bulan'!E42)</f>
        <v>0</v>
      </c>
      <c r="H42" s="185" t="s">
        <v>26</v>
      </c>
      <c r="I42" s="187">
        <f>Kalkulasi!F54</f>
        <v>0</v>
      </c>
      <c r="J42" s="189">
        <f>COUNTIFS(Pengeluaran!$C$9:$C$129, 'Akhir Bulan'!$H$32, Pengeluaran!$D$9:$D$129, 'Akhir Bulan'!H42)</f>
        <v>0</v>
      </c>
      <c r="K42" s="185" t="s">
        <v>118</v>
      </c>
      <c r="L42" s="187">
        <f>Kalkulasi!H54</f>
        <v>0</v>
      </c>
      <c r="M42" s="189">
        <f>COUNTIFS(Pengeluaran!$C$9:$C$129, 'Akhir Bulan'!$K$32, Pengeluaran!$D$9:$D$129, 'Akhir Bulan'!K42)</f>
        <v>0</v>
      </c>
    </row>
    <row r="43" spans="2:19" ht="14.4" customHeight="1" x14ac:dyDescent="0.3">
      <c r="B43" s="186"/>
      <c r="C43" s="188"/>
      <c r="D43" s="189"/>
      <c r="E43" s="186"/>
      <c r="F43" s="188"/>
      <c r="G43" s="189"/>
      <c r="H43" s="186"/>
      <c r="I43" s="188"/>
      <c r="J43" s="189"/>
      <c r="K43" s="186"/>
      <c r="L43" s="188"/>
      <c r="M43" s="189"/>
    </row>
    <row r="44" spans="2:19" ht="14.4" customHeight="1" x14ac:dyDescent="0.3">
      <c r="E44" s="185" t="s">
        <v>24</v>
      </c>
      <c r="F44" s="187">
        <f>Kalkulasi!D55</f>
        <v>0</v>
      </c>
      <c r="G44" s="189">
        <f>COUNTIFS(Pengeluaran!$C$9:$C$129, 'Akhir Bulan'!$E$32, Pengeluaran!$D$9:$D$129, 'Akhir Bulan'!E44)</f>
        <v>0</v>
      </c>
      <c r="H44" s="185" t="s">
        <v>24</v>
      </c>
      <c r="I44" s="187">
        <f>Kalkulasi!F55</f>
        <v>0</v>
      </c>
      <c r="J44" s="189">
        <f>COUNTIFS(Pengeluaran!$C$9:$C$129, 'Akhir Bulan'!$H$32, Pengeluaran!$D$9:$D$129, 'Akhir Bulan'!H44)</f>
        <v>0</v>
      </c>
      <c r="K44" s="185" t="s">
        <v>198</v>
      </c>
      <c r="L44" s="187">
        <f>Kalkulasi!H55</f>
        <v>0</v>
      </c>
      <c r="M44" s="189">
        <f>COUNTIFS(Pengeluaran!$C$9:$C$129, 'Akhir Bulan'!$K$32, Pengeluaran!$D$9:$D$129, 'Akhir Bulan'!K44)</f>
        <v>0</v>
      </c>
    </row>
    <row r="45" spans="2:19" ht="14.4" customHeight="1" x14ac:dyDescent="0.3">
      <c r="E45" s="186"/>
      <c r="F45" s="188"/>
      <c r="G45" s="189"/>
      <c r="H45" s="186"/>
      <c r="I45" s="188"/>
      <c r="J45" s="189"/>
      <c r="K45" s="186"/>
      <c r="L45" s="188"/>
      <c r="M45" s="189"/>
    </row>
    <row r="46" spans="2:19" ht="14.4" customHeight="1" x14ac:dyDescent="0.3">
      <c r="E46" s="185" t="s">
        <v>177</v>
      </c>
      <c r="F46" s="187">
        <f>Kalkulasi!D56</f>
        <v>0</v>
      </c>
      <c r="G46" s="189">
        <f>COUNTIFS(Pengeluaran!$C$9:$C$129, 'Akhir Bulan'!$E$32, Pengeluaran!$D$9:$D$129, 'Akhir Bulan'!E46)</f>
        <v>0</v>
      </c>
      <c r="H46" s="185" t="s">
        <v>177</v>
      </c>
      <c r="I46" s="187">
        <f>Kalkulasi!F56</f>
        <v>0</v>
      </c>
      <c r="J46" s="189">
        <f>COUNTIFS(Pengeluaran!$C$9:$C$129, 'Akhir Bulan'!$H$32, Pengeluaran!$D$9:$D$129, 'Akhir Bulan'!H46)</f>
        <v>0</v>
      </c>
    </row>
    <row r="47" spans="2:19" ht="14.4" customHeight="1" x14ac:dyDescent="0.3">
      <c r="E47" s="186"/>
      <c r="F47" s="188"/>
      <c r="G47" s="189"/>
      <c r="H47" s="186"/>
      <c r="I47" s="188"/>
      <c r="J47" s="189"/>
    </row>
    <row r="48" spans="2:19" ht="14.4" customHeight="1" x14ac:dyDescent="0.3">
      <c r="E48" s="185" t="s">
        <v>22</v>
      </c>
      <c r="F48" s="187">
        <f>Kalkulasi!D57</f>
        <v>0</v>
      </c>
      <c r="G48" s="189">
        <f>COUNTIFS(Pengeluaran!$C$9:$C$129, 'Akhir Bulan'!$E$32, Pengeluaran!$D$9:$D$129, 'Akhir Bulan'!E48)</f>
        <v>0</v>
      </c>
      <c r="H48" s="185" t="s">
        <v>19</v>
      </c>
      <c r="I48" s="187">
        <f>Kalkulasi!F57</f>
        <v>0</v>
      </c>
      <c r="J48" s="189">
        <f>COUNTIFS(Pengeluaran!$C$9:$C$129, 'Akhir Bulan'!$H$32, Pengeluaran!$D$9:$D$129, 'Akhir Bulan'!H48)</f>
        <v>0</v>
      </c>
    </row>
    <row r="49" spans="2:13" ht="14.4" customHeight="1" x14ac:dyDescent="0.3">
      <c r="E49" s="186"/>
      <c r="F49" s="188"/>
      <c r="G49" s="189"/>
      <c r="H49" s="186"/>
      <c r="I49" s="188"/>
      <c r="J49" s="189"/>
    </row>
    <row r="50" spans="2:13" ht="14.4" customHeight="1" x14ac:dyDescent="0.3"/>
    <row r="51" spans="2:13" ht="15.6" customHeight="1" x14ac:dyDescent="0.3">
      <c r="B51" s="179" t="s">
        <v>51</v>
      </c>
      <c r="C51" s="180"/>
      <c r="D51" s="183" t="s">
        <v>196</v>
      </c>
      <c r="E51" s="179" t="s">
        <v>51</v>
      </c>
      <c r="F51" s="180"/>
      <c r="G51" s="183" t="s">
        <v>196</v>
      </c>
      <c r="H51" s="179" t="s">
        <v>51</v>
      </c>
      <c r="I51" s="180"/>
      <c r="J51" s="183" t="s">
        <v>196</v>
      </c>
      <c r="K51" s="179" t="s">
        <v>51</v>
      </c>
      <c r="L51" s="180"/>
      <c r="M51" s="183" t="s">
        <v>196</v>
      </c>
    </row>
    <row r="52" spans="2:13" ht="15.6" customHeight="1" x14ac:dyDescent="0.3">
      <c r="B52" s="181"/>
      <c r="C52" s="182"/>
      <c r="D52" s="184"/>
      <c r="E52" s="181"/>
      <c r="F52" s="182"/>
      <c r="G52" s="184"/>
      <c r="H52" s="181"/>
      <c r="I52" s="182"/>
      <c r="J52" s="184"/>
      <c r="K52" s="181"/>
      <c r="L52" s="182"/>
      <c r="M52" s="184"/>
    </row>
    <row r="53" spans="2:13" ht="15.6" customHeight="1" x14ac:dyDescent="0.3">
      <c r="B53" s="190" t="s">
        <v>20</v>
      </c>
      <c r="C53" s="187">
        <f>Kalkulasi!B60</f>
        <v>0</v>
      </c>
      <c r="D53" s="211">
        <f>COUNTIFS(Pengeluaran!$L$9:$L$88, 'Akhir Bulan'!B53)</f>
        <v>0</v>
      </c>
      <c r="E53" s="210" t="s">
        <v>69</v>
      </c>
      <c r="F53" s="187">
        <f>Kalkulasi!D60</f>
        <v>0</v>
      </c>
      <c r="G53" s="211">
        <f>COUNTIFS(Pengeluaran!$L$9:$L$88, 'Akhir Bulan'!E53)</f>
        <v>0</v>
      </c>
      <c r="H53" s="185" t="s">
        <v>217</v>
      </c>
      <c r="I53" s="187">
        <f>Kalkulasi!F60</f>
        <v>0</v>
      </c>
      <c r="J53" s="211">
        <f>COUNTIFS(Pengeluaran!$L$9:$L$88, 'Akhir Bulan'!H53)</f>
        <v>0</v>
      </c>
      <c r="K53" s="185" t="s">
        <v>80</v>
      </c>
      <c r="L53" s="187">
        <f>Kalkulasi!H60</f>
        <v>0</v>
      </c>
      <c r="M53" s="211">
        <f>COUNTIFS(Pengeluaran!$L$9:$L$88, 'Akhir Bulan'!K53)</f>
        <v>0</v>
      </c>
    </row>
    <row r="54" spans="2:13" ht="15.6" customHeight="1" x14ac:dyDescent="0.3">
      <c r="B54" s="191"/>
      <c r="C54" s="188"/>
      <c r="D54" s="212"/>
      <c r="E54" s="210"/>
      <c r="F54" s="188"/>
      <c r="G54" s="212"/>
      <c r="H54" s="186"/>
      <c r="I54" s="188"/>
      <c r="J54" s="212"/>
      <c r="K54" s="186"/>
      <c r="L54" s="188"/>
      <c r="M54" s="212"/>
    </row>
    <row r="55" spans="2:13" ht="15.6" customHeight="1" x14ac:dyDescent="0.3">
      <c r="B55" s="190" t="s">
        <v>21</v>
      </c>
      <c r="C55" s="187">
        <f>Kalkulasi!B61</f>
        <v>0</v>
      </c>
      <c r="D55" s="211">
        <f>COUNTIFS(Pengeluaran!$L$9:$L$88, 'Akhir Bulan'!B55)</f>
        <v>0</v>
      </c>
      <c r="E55" s="210" t="s">
        <v>13</v>
      </c>
      <c r="F55" s="187">
        <f>Kalkulasi!D61</f>
        <v>0</v>
      </c>
      <c r="G55" s="211">
        <f>COUNTIFS(Pengeluaran!$L$9:$L$88, 'Akhir Bulan'!E55)</f>
        <v>0</v>
      </c>
      <c r="H55" s="185" t="s">
        <v>66</v>
      </c>
      <c r="I55" s="187">
        <f>Kalkulasi!F61</f>
        <v>0</v>
      </c>
      <c r="J55" s="211">
        <f>COUNTIFS(Pengeluaran!$L$9:$L$88, 'Akhir Bulan'!H55)</f>
        <v>0</v>
      </c>
      <c r="K55" s="185" t="s">
        <v>77</v>
      </c>
      <c r="L55" s="187">
        <f>Kalkulasi!H61</f>
        <v>0</v>
      </c>
      <c r="M55" s="211">
        <f>COUNTIFS(Pengeluaran!$L$9:$L$88, 'Akhir Bulan'!K55)</f>
        <v>0</v>
      </c>
    </row>
    <row r="56" spans="2:13" ht="15.6" customHeight="1" x14ac:dyDescent="0.3">
      <c r="B56" s="191"/>
      <c r="C56" s="188"/>
      <c r="D56" s="212"/>
      <c r="E56" s="210"/>
      <c r="F56" s="188"/>
      <c r="G56" s="212"/>
      <c r="H56" s="186"/>
      <c r="I56" s="188"/>
      <c r="J56" s="212"/>
      <c r="K56" s="186"/>
      <c r="L56" s="188"/>
      <c r="M56" s="212"/>
    </row>
    <row r="57" spans="2:13" ht="15.6" customHeight="1" x14ac:dyDescent="0.3">
      <c r="B57" s="190" t="s">
        <v>90</v>
      </c>
      <c r="C57" s="187">
        <f>Kalkulasi!B62</f>
        <v>0</v>
      </c>
      <c r="D57" s="211">
        <f>COUNTIFS(Pengeluaran!$L$9:$L$88, 'Akhir Bulan'!B57)</f>
        <v>0</v>
      </c>
      <c r="E57" s="210" t="s">
        <v>89</v>
      </c>
      <c r="F57" s="187">
        <f>Kalkulasi!D62</f>
        <v>0</v>
      </c>
      <c r="G57" s="211">
        <f>COUNTIFS(Pengeluaran!$L$9:$L$88, 'Akhir Bulan'!E57)</f>
        <v>0</v>
      </c>
      <c r="H57" s="185" t="s">
        <v>67</v>
      </c>
      <c r="I57" s="187">
        <f>Kalkulasi!F62</f>
        <v>0</v>
      </c>
      <c r="J57" s="211">
        <f>COUNTIFS(Pengeluaran!$L$9:$L$88, 'Akhir Bulan'!H57)</f>
        <v>0</v>
      </c>
      <c r="K57" s="185" t="s">
        <v>78</v>
      </c>
      <c r="L57" s="187">
        <f>Kalkulasi!H62</f>
        <v>0</v>
      </c>
      <c r="M57" s="211">
        <f>COUNTIFS(Pengeluaran!$L$9:$L$88, 'Akhir Bulan'!K57)</f>
        <v>0</v>
      </c>
    </row>
    <row r="58" spans="2:13" ht="15.6" customHeight="1" x14ac:dyDescent="0.3">
      <c r="B58" s="191"/>
      <c r="C58" s="188"/>
      <c r="D58" s="212"/>
      <c r="E58" s="210"/>
      <c r="F58" s="188"/>
      <c r="G58" s="212"/>
      <c r="H58" s="186"/>
      <c r="I58" s="188"/>
      <c r="J58" s="212"/>
      <c r="K58" s="186"/>
      <c r="L58" s="188"/>
      <c r="M58" s="212"/>
    </row>
    <row r="59" spans="2:13" ht="14.4" customHeight="1" x14ac:dyDescent="0.3">
      <c r="B59" s="190" t="s">
        <v>25</v>
      </c>
      <c r="C59" s="187">
        <f>Kalkulasi!B63</f>
        <v>0</v>
      </c>
      <c r="D59" s="211">
        <f>COUNTIFS(Pengeluaran!$L$9:$L$88, 'Akhir Bulan'!B59)</f>
        <v>0</v>
      </c>
      <c r="E59" s="210" t="s">
        <v>216</v>
      </c>
      <c r="F59" s="187">
        <f>Kalkulasi!D63</f>
        <v>0</v>
      </c>
      <c r="G59" s="211">
        <f>COUNTIFS(Pengeluaran!$L$9:$L$88, 'Akhir Bulan'!E59)</f>
        <v>0</v>
      </c>
      <c r="H59" s="185" t="s">
        <v>81</v>
      </c>
      <c r="I59" s="187">
        <f>Kalkulasi!F63</f>
        <v>0</v>
      </c>
      <c r="J59" s="211">
        <f>COUNTIFS(Pengeluaran!$L$9:$L$88, 'Akhir Bulan'!H59)</f>
        <v>0</v>
      </c>
      <c r="K59" s="185" t="s">
        <v>79</v>
      </c>
      <c r="L59" s="187">
        <f>Kalkulasi!H63</f>
        <v>0</v>
      </c>
      <c r="M59" s="211">
        <f>COUNTIFS(Pengeluaran!$L$9:$L$88, 'Akhir Bulan'!K59)</f>
        <v>0</v>
      </c>
    </row>
    <row r="60" spans="2:13" ht="15.6" customHeight="1" x14ac:dyDescent="0.3">
      <c r="B60" s="191"/>
      <c r="C60" s="188"/>
      <c r="D60" s="212"/>
      <c r="E60" s="210"/>
      <c r="F60" s="188"/>
      <c r="G60" s="212"/>
      <c r="H60" s="186"/>
      <c r="I60" s="188"/>
      <c r="J60" s="212"/>
      <c r="K60" s="186"/>
      <c r="L60" s="188"/>
      <c r="M60" s="212"/>
    </row>
    <row r="61" spans="2:13" ht="14.4" customHeight="1" x14ac:dyDescent="0.3">
      <c r="B61" s="190" t="s">
        <v>29</v>
      </c>
      <c r="C61" s="187">
        <f>Kalkulasi!B64</f>
        <v>0</v>
      </c>
      <c r="D61" s="211">
        <f>COUNTIFS(Pengeluaran!$L$9:$L$88, 'Akhir Bulan'!B61)</f>
        <v>0</v>
      </c>
      <c r="E61" s="210" t="s">
        <v>304</v>
      </c>
      <c r="F61" s="187">
        <f>Kalkulasi!D64</f>
        <v>0</v>
      </c>
      <c r="G61" s="211">
        <f>COUNTIFS(Pengeluaran!$L$9:$L$88, 'Akhir Bulan'!E61)</f>
        <v>0</v>
      </c>
    </row>
    <row r="62" spans="2:13" ht="14.4" customHeight="1" x14ac:dyDescent="0.3">
      <c r="B62" s="191"/>
      <c r="C62" s="188"/>
      <c r="D62" s="212"/>
      <c r="E62" s="210"/>
      <c r="F62" s="188"/>
      <c r="G62" s="212"/>
    </row>
  </sheetData>
  <mergeCells count="234">
    <mergeCell ref="F61:F62"/>
    <mergeCell ref="G61:G62"/>
    <mergeCell ref="E48:E49"/>
    <mergeCell ref="F48:F49"/>
    <mergeCell ref="G48:G49"/>
    <mergeCell ref="H48:H49"/>
    <mergeCell ref="I48:I49"/>
    <mergeCell ref="J48:J49"/>
    <mergeCell ref="I59:I60"/>
    <mergeCell ref="I57:I58"/>
    <mergeCell ref="I55:I56"/>
    <mergeCell ref="I53:I54"/>
    <mergeCell ref="G53:G54"/>
    <mergeCell ref="G55:G56"/>
    <mergeCell ref="G57:G58"/>
    <mergeCell ref="G59:G60"/>
    <mergeCell ref="F59:F60"/>
    <mergeCell ref="F57:F58"/>
    <mergeCell ref="F55:F56"/>
    <mergeCell ref="F53:F54"/>
    <mergeCell ref="E51:F52"/>
    <mergeCell ref="G51:G52"/>
    <mergeCell ref="H51:I52"/>
    <mergeCell ref="J51:J52"/>
    <mergeCell ref="K51:L52"/>
    <mergeCell ref="M51:M52"/>
    <mergeCell ref="E53:E54"/>
    <mergeCell ref="H59:H60"/>
    <mergeCell ref="H57:H58"/>
    <mergeCell ref="H55:H56"/>
    <mergeCell ref="H53:H54"/>
    <mergeCell ref="M59:M60"/>
    <mergeCell ref="M57:M58"/>
    <mergeCell ref="M55:M56"/>
    <mergeCell ref="M53:M54"/>
    <mergeCell ref="L59:L60"/>
    <mergeCell ref="L57:L58"/>
    <mergeCell ref="L55:L56"/>
    <mergeCell ref="L53:L54"/>
    <mergeCell ref="K59:K60"/>
    <mergeCell ref="K57:K58"/>
    <mergeCell ref="K55:K56"/>
    <mergeCell ref="J53:J54"/>
    <mergeCell ref="K53:K54"/>
    <mergeCell ref="E55:E56"/>
    <mergeCell ref="J55:J56"/>
    <mergeCell ref="J57:J58"/>
    <mergeCell ref="J59:J60"/>
    <mergeCell ref="B51:C52"/>
    <mergeCell ref="D51:D52"/>
    <mergeCell ref="B61:B62"/>
    <mergeCell ref="B59:B60"/>
    <mergeCell ref="B57:B58"/>
    <mergeCell ref="B55:B56"/>
    <mergeCell ref="B53:B54"/>
    <mergeCell ref="D61:D62"/>
    <mergeCell ref="D59:D60"/>
    <mergeCell ref="D57:D58"/>
    <mergeCell ref="D55:D56"/>
    <mergeCell ref="D53:D54"/>
    <mergeCell ref="C61:C62"/>
    <mergeCell ref="C59:C60"/>
    <mergeCell ref="C57:C58"/>
    <mergeCell ref="C55:C56"/>
    <mergeCell ref="C53:C54"/>
    <mergeCell ref="E59:E60"/>
    <mergeCell ref="E57:E58"/>
    <mergeCell ref="E61:E62"/>
    <mergeCell ref="J44:J45"/>
    <mergeCell ref="H46:H47"/>
    <mergeCell ref="E40:E41"/>
    <mergeCell ref="F40:F41"/>
    <mergeCell ref="G40:G41"/>
    <mergeCell ref="E42:E43"/>
    <mergeCell ref="F42:F43"/>
    <mergeCell ref="G42:G43"/>
    <mergeCell ref="E44:E45"/>
    <mergeCell ref="F44:F45"/>
    <mergeCell ref="G44:G45"/>
    <mergeCell ref="I46:I47"/>
    <mergeCell ref="J46:J47"/>
    <mergeCell ref="E46:E47"/>
    <mergeCell ref="F46:F47"/>
    <mergeCell ref="G46:G47"/>
    <mergeCell ref="H40:H41"/>
    <mergeCell ref="I40:I41"/>
    <mergeCell ref="J40:J41"/>
    <mergeCell ref="H42:H43"/>
    <mergeCell ref="I42:I43"/>
    <mergeCell ref="D22:D24"/>
    <mergeCell ref="E22:E24"/>
    <mergeCell ref="J42:J43"/>
    <mergeCell ref="H44:H45"/>
    <mergeCell ref="I44:I45"/>
    <mergeCell ref="C42:C43"/>
    <mergeCell ref="C40:C41"/>
    <mergeCell ref="C38:C39"/>
    <mergeCell ref="C36:C37"/>
    <mergeCell ref="C34:C35"/>
    <mergeCell ref="E32:F33"/>
    <mergeCell ref="E34:E35"/>
    <mergeCell ref="F34:F35"/>
    <mergeCell ref="E36:E37"/>
    <mergeCell ref="F36:F37"/>
    <mergeCell ref="E38:E39"/>
    <mergeCell ref="F38:F39"/>
    <mergeCell ref="D38:D39"/>
    <mergeCell ref="D40:D41"/>
    <mergeCell ref="D42:D43"/>
    <mergeCell ref="D32:D33"/>
    <mergeCell ref="B32:C33"/>
    <mergeCell ref="B42:B43"/>
    <mergeCell ref="B40:B41"/>
    <mergeCell ref="H18:H20"/>
    <mergeCell ref="B14:B16"/>
    <mergeCell ref="R13:T15"/>
    <mergeCell ref="H10:H12"/>
    <mergeCell ref="H14:H16"/>
    <mergeCell ref="R9:T11"/>
    <mergeCell ref="B38:B39"/>
    <mergeCell ref="B36:B37"/>
    <mergeCell ref="B34:B35"/>
    <mergeCell ref="G38:G39"/>
    <mergeCell ref="H32:I33"/>
    <mergeCell ref="J32:J33"/>
    <mergeCell ref="H34:H35"/>
    <mergeCell ref="I34:I35"/>
    <mergeCell ref="J34:J35"/>
    <mergeCell ref="H36:H37"/>
    <mergeCell ref="I36:I37"/>
    <mergeCell ref="J36:J37"/>
    <mergeCell ref="H38:H39"/>
    <mergeCell ref="I38:I39"/>
    <mergeCell ref="J38:J39"/>
    <mergeCell ref="B26:B28"/>
    <mergeCell ref="B22:B24"/>
    <mergeCell ref="C22:C24"/>
    <mergeCell ref="B10:B12"/>
    <mergeCell ref="G10:G12"/>
    <mergeCell ref="F10:F12"/>
    <mergeCell ref="C10:C12"/>
    <mergeCell ref="E10:E12"/>
    <mergeCell ref="R16:T18"/>
    <mergeCell ref="D10:D12"/>
    <mergeCell ref="L9:M11"/>
    <mergeCell ref="J9:K11"/>
    <mergeCell ref="P16:Q18"/>
    <mergeCell ref="N16:O18"/>
    <mergeCell ref="L16:M18"/>
    <mergeCell ref="J16:K18"/>
    <mergeCell ref="J13:K15"/>
    <mergeCell ref="P9:Q11"/>
    <mergeCell ref="N9:O11"/>
    <mergeCell ref="P13:Q15"/>
    <mergeCell ref="N13:O15"/>
    <mergeCell ref="L13:M15"/>
    <mergeCell ref="B18:B20"/>
    <mergeCell ref="C18:C20"/>
    <mergeCell ref="D18:D20"/>
    <mergeCell ref="E18:E20"/>
    <mergeCell ref="F18:F20"/>
    <mergeCell ref="B2:H4"/>
    <mergeCell ref="B6:B8"/>
    <mergeCell ref="H6:H8"/>
    <mergeCell ref="G6:G8"/>
    <mergeCell ref="F6:F8"/>
    <mergeCell ref="E6:E8"/>
    <mergeCell ref="D6:D8"/>
    <mergeCell ref="C6:C8"/>
    <mergeCell ref="P6:Q8"/>
    <mergeCell ref="N6:O8"/>
    <mergeCell ref="L6:M8"/>
    <mergeCell ref="J6:K8"/>
    <mergeCell ref="J2:T4"/>
    <mergeCell ref="R6:T8"/>
    <mergeCell ref="M34:M35"/>
    <mergeCell ref="K36:K37"/>
    <mergeCell ref="L36:L37"/>
    <mergeCell ref="M36:M37"/>
    <mergeCell ref="C14:C16"/>
    <mergeCell ref="D14:D16"/>
    <mergeCell ref="E14:E16"/>
    <mergeCell ref="F14:F16"/>
    <mergeCell ref="G14:G16"/>
    <mergeCell ref="D34:D35"/>
    <mergeCell ref="D36:D37"/>
    <mergeCell ref="G32:G33"/>
    <mergeCell ref="G34:G35"/>
    <mergeCell ref="G36:G37"/>
    <mergeCell ref="H22:H24"/>
    <mergeCell ref="C26:C28"/>
    <mergeCell ref="D26:D28"/>
    <mergeCell ref="E26:E28"/>
    <mergeCell ref="F26:F28"/>
    <mergeCell ref="G26:G28"/>
    <mergeCell ref="H26:H28"/>
    <mergeCell ref="F22:F24"/>
    <mergeCell ref="G22:G24"/>
    <mergeCell ref="G18:G20"/>
    <mergeCell ref="K44:K45"/>
    <mergeCell ref="L44:L45"/>
    <mergeCell ref="M44:M45"/>
    <mergeCell ref="N32:O33"/>
    <mergeCell ref="P32:P33"/>
    <mergeCell ref="N34:N35"/>
    <mergeCell ref="O34:O35"/>
    <mergeCell ref="P34:P35"/>
    <mergeCell ref="N36:N37"/>
    <mergeCell ref="O36:O37"/>
    <mergeCell ref="P36:P37"/>
    <mergeCell ref="K38:K39"/>
    <mergeCell ref="L38:L39"/>
    <mergeCell ref="M38:M39"/>
    <mergeCell ref="K40:K41"/>
    <mergeCell ref="L40:L41"/>
    <mergeCell ref="M40:M41"/>
    <mergeCell ref="K42:K43"/>
    <mergeCell ref="L42:L43"/>
    <mergeCell ref="M42:M43"/>
    <mergeCell ref="K32:L33"/>
    <mergeCell ref="M32:M33"/>
    <mergeCell ref="K34:K35"/>
    <mergeCell ref="L34:L35"/>
    <mergeCell ref="Q32:R33"/>
    <mergeCell ref="S32:S33"/>
    <mergeCell ref="Q34:Q35"/>
    <mergeCell ref="R34:R35"/>
    <mergeCell ref="S34:S35"/>
    <mergeCell ref="Q36:Q37"/>
    <mergeCell ref="R36:R37"/>
    <mergeCell ref="S36:S37"/>
    <mergeCell ref="Q38:Q39"/>
    <mergeCell ref="R38:R39"/>
    <mergeCell ref="S38:S39"/>
  </mergeCells>
  <conditionalFormatting sqref="B26:C28">
    <cfRule type="colorScale" priority="5">
      <colorScale>
        <cfvo type="num" val="0"/>
        <cfvo type="num" val="125000"/>
        <cfvo type="num" val="250000"/>
        <color rgb="FF63BE7B"/>
        <color rgb="FFFFEB84"/>
        <color rgb="FFFF0000"/>
      </colorScale>
    </cfRule>
  </conditionalFormatting>
  <conditionalFormatting sqref="B10:H12">
    <cfRule type="colorScale" priority="17">
      <colorScale>
        <cfvo type="num" val="0"/>
        <cfvo type="num" val="125000"/>
        <cfvo type="num" val="250000"/>
        <color rgb="FF63BE7B"/>
        <color rgb="FFFFEB84"/>
        <color rgb="FFFF0000"/>
      </colorScale>
    </cfRule>
  </conditionalFormatting>
  <conditionalFormatting sqref="B14:H16">
    <cfRule type="colorScale" priority="8">
      <colorScale>
        <cfvo type="num" val="0"/>
        <cfvo type="num" val="125000"/>
        <cfvo type="num" val="250000"/>
        <color rgb="FF63BE7B"/>
        <color rgb="FFFFEB84"/>
        <color rgb="FFFF0000"/>
      </colorScale>
    </cfRule>
  </conditionalFormatting>
  <conditionalFormatting sqref="B18:H20">
    <cfRule type="colorScale" priority="7">
      <colorScale>
        <cfvo type="num" val="0"/>
        <cfvo type="num" val="125000"/>
        <cfvo type="num" val="250000"/>
        <color rgb="FF63BE7B"/>
        <color rgb="FFFFEB84"/>
        <color rgb="FFFF0000"/>
      </colorScale>
    </cfRule>
  </conditionalFormatting>
  <conditionalFormatting sqref="B22:H24">
    <cfRule type="colorScale" priority="6">
      <colorScale>
        <cfvo type="num" val="0"/>
        <cfvo type="num" val="125000"/>
        <cfvo type="num" val="250000"/>
        <color rgb="FF63BE7B"/>
        <color rgb="FFFFEB84"/>
        <color rgb="FFFF0000"/>
      </colorScale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200A7-3E31-4976-8B61-4E49E182E904}">
  <dimension ref="B2:M87"/>
  <sheetViews>
    <sheetView zoomScale="85" zoomScaleNormal="85" workbookViewId="0">
      <selection activeCell="F71" sqref="F71"/>
    </sheetView>
  </sheetViews>
  <sheetFormatPr defaultColWidth="18.77734375" defaultRowHeight="14.4" customHeight="1" x14ac:dyDescent="0.3"/>
  <cols>
    <col min="1" max="1" width="3.77734375" customWidth="1"/>
  </cols>
  <sheetData>
    <row r="2" spans="2:13" ht="14.4" customHeight="1" x14ac:dyDescent="0.3">
      <c r="B2" s="216" t="s">
        <v>59</v>
      </c>
      <c r="C2" s="217"/>
      <c r="D2" s="217"/>
      <c r="E2" s="217"/>
      <c r="F2" s="217"/>
      <c r="G2" s="217"/>
      <c r="H2" s="217"/>
      <c r="I2" s="217"/>
      <c r="J2" s="217"/>
      <c r="K2" s="217"/>
      <c r="L2" s="217"/>
      <c r="M2" s="218"/>
    </row>
    <row r="3" spans="2:13" ht="14.4" customHeight="1" x14ac:dyDescent="0.3">
      <c r="B3" s="219"/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1"/>
    </row>
    <row r="4" spans="2:13" ht="14.4" customHeight="1" x14ac:dyDescent="0.3">
      <c r="B4" s="222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4"/>
    </row>
    <row r="6" spans="2:13" ht="14.4" customHeight="1" x14ac:dyDescent="0.3">
      <c r="B6" s="228" t="s">
        <v>82</v>
      </c>
      <c r="C6" s="3" t="s">
        <v>6</v>
      </c>
      <c r="D6" s="3" t="s">
        <v>7</v>
      </c>
      <c r="E6" s="3" t="s">
        <v>8</v>
      </c>
      <c r="F6" s="3" t="s">
        <v>70</v>
      </c>
      <c r="G6" s="3" t="s">
        <v>71</v>
      </c>
    </row>
    <row r="7" spans="2:13" ht="14.4" customHeight="1" x14ac:dyDescent="0.3">
      <c r="B7" s="228"/>
      <c r="C7" s="2" t="s">
        <v>18</v>
      </c>
      <c r="D7" s="2" t="s">
        <v>18</v>
      </c>
      <c r="E7" s="2" t="s">
        <v>18</v>
      </c>
      <c r="F7" s="2" t="s">
        <v>28</v>
      </c>
      <c r="G7" s="2" t="s">
        <v>18</v>
      </c>
    </row>
    <row r="8" spans="2:13" ht="14.4" customHeight="1" x14ac:dyDescent="0.3">
      <c r="B8" s="228"/>
      <c r="C8" s="2" t="s">
        <v>28</v>
      </c>
      <c r="D8" s="2" t="s">
        <v>28</v>
      </c>
      <c r="E8" s="2" t="s">
        <v>28</v>
      </c>
      <c r="F8" s="2" t="s">
        <v>97</v>
      </c>
      <c r="G8" s="2" t="s">
        <v>28</v>
      </c>
    </row>
    <row r="9" spans="2:13" ht="14.4" customHeight="1" x14ac:dyDescent="0.3">
      <c r="B9" s="228"/>
      <c r="C9" s="2" t="s">
        <v>22</v>
      </c>
      <c r="D9" s="2" t="s">
        <v>27</v>
      </c>
      <c r="E9" s="2" t="s">
        <v>23</v>
      </c>
      <c r="F9" s="2"/>
      <c r="G9" s="2" t="s">
        <v>65</v>
      </c>
    </row>
    <row r="10" spans="2:13" ht="14.4" customHeight="1" x14ac:dyDescent="0.3">
      <c r="B10" s="228"/>
      <c r="C10" s="2" t="s">
        <v>87</v>
      </c>
      <c r="D10" s="2" t="s">
        <v>19</v>
      </c>
      <c r="E10" s="2" t="s">
        <v>88</v>
      </c>
      <c r="F10" s="2"/>
      <c r="G10" s="2"/>
    </row>
    <row r="11" spans="2:13" ht="14.4" customHeight="1" x14ac:dyDescent="0.3">
      <c r="B11" s="228"/>
      <c r="C11" s="2" t="s">
        <v>26</v>
      </c>
      <c r="D11" s="2" t="s">
        <v>26</v>
      </c>
      <c r="E11" s="2" t="s">
        <v>26</v>
      </c>
      <c r="F11" s="2"/>
      <c r="G11" s="2"/>
    </row>
    <row r="12" spans="2:13" ht="14.4" customHeight="1" x14ac:dyDescent="0.3">
      <c r="B12" s="228"/>
      <c r="C12" s="2"/>
      <c r="D12" s="2" t="s">
        <v>24</v>
      </c>
      <c r="E12" s="2" t="s">
        <v>24</v>
      </c>
      <c r="F12" s="2"/>
      <c r="G12" s="2"/>
    </row>
    <row r="13" spans="2:13" ht="14.4" customHeight="1" x14ac:dyDescent="0.3">
      <c r="B13" s="228"/>
      <c r="C13" s="2"/>
      <c r="D13" s="2" t="s">
        <v>177</v>
      </c>
      <c r="E13" s="2" t="s">
        <v>177</v>
      </c>
      <c r="F13" s="2"/>
      <c r="G13" s="2"/>
    </row>
    <row r="14" spans="2:13" ht="14.4" customHeight="1" x14ac:dyDescent="0.3">
      <c r="B14" s="228"/>
      <c r="C14" s="2"/>
      <c r="D14" s="2"/>
      <c r="E14" s="2"/>
      <c r="F14" s="2"/>
      <c r="G14" s="2"/>
    </row>
    <row r="15" spans="2:13" ht="14.4" customHeight="1" x14ac:dyDescent="0.3">
      <c r="B15" s="228"/>
      <c r="C15" s="2"/>
      <c r="D15" s="2"/>
      <c r="E15" s="2"/>
      <c r="F15" s="2"/>
      <c r="G15" s="2"/>
    </row>
    <row r="16" spans="2:13" ht="14.4" customHeight="1" x14ac:dyDescent="0.3">
      <c r="B16" s="2" t="s">
        <v>84</v>
      </c>
      <c r="C16" s="2" t="s">
        <v>121</v>
      </c>
      <c r="D16" s="2" t="s">
        <v>123</v>
      </c>
      <c r="E16" s="2" t="s">
        <v>125</v>
      </c>
      <c r="F16" s="2" t="s">
        <v>127</v>
      </c>
      <c r="G16" s="2" t="s">
        <v>129</v>
      </c>
    </row>
    <row r="17" spans="2:13" ht="14.4" customHeight="1" x14ac:dyDescent="0.3">
      <c r="B17" s="2" t="s">
        <v>85</v>
      </c>
      <c r="C17" s="2" t="s">
        <v>122</v>
      </c>
      <c r="D17" s="2" t="s">
        <v>124</v>
      </c>
      <c r="E17" s="2" t="s">
        <v>126</v>
      </c>
      <c r="F17" s="2" t="s">
        <v>128</v>
      </c>
      <c r="G17" s="2" t="s">
        <v>130</v>
      </c>
    </row>
    <row r="18" spans="2:13" ht="14.4" customHeight="1" x14ac:dyDescent="0.3">
      <c r="B18" s="2" t="s">
        <v>115</v>
      </c>
      <c r="C18" s="2" t="s">
        <v>116</v>
      </c>
      <c r="D18" s="2" t="s">
        <v>117</v>
      </c>
      <c r="E18" s="2" t="s">
        <v>118</v>
      </c>
      <c r="F18" s="2" t="s">
        <v>119</v>
      </c>
      <c r="G18" s="2" t="s">
        <v>120</v>
      </c>
    </row>
    <row r="20" spans="2:13" ht="14.4" customHeight="1" x14ac:dyDescent="0.3">
      <c r="B20" s="225" t="s">
        <v>34</v>
      </c>
      <c r="C20" s="3" t="s">
        <v>10</v>
      </c>
      <c r="D20" s="3" t="s">
        <v>11</v>
      </c>
      <c r="E20" s="3" t="s">
        <v>12</v>
      </c>
      <c r="F20" s="3" t="s">
        <v>68</v>
      </c>
      <c r="G20" s="3" t="s">
        <v>14</v>
      </c>
      <c r="H20" s="3" t="s">
        <v>15</v>
      </c>
      <c r="I20" s="3" t="s">
        <v>16</v>
      </c>
      <c r="J20" s="3" t="s">
        <v>65</v>
      </c>
      <c r="K20" s="3" t="s">
        <v>76</v>
      </c>
      <c r="L20" s="3" t="s">
        <v>86</v>
      </c>
      <c r="M20" s="3" t="s">
        <v>17</v>
      </c>
    </row>
    <row r="21" spans="2:13" ht="14.4" customHeight="1" x14ac:dyDescent="0.3">
      <c r="B21" s="226"/>
      <c r="C21" s="2" t="s">
        <v>20</v>
      </c>
      <c r="D21" s="2" t="s">
        <v>20</v>
      </c>
      <c r="E21" s="2" t="s">
        <v>29</v>
      </c>
      <c r="F21" s="2" t="s">
        <v>69</v>
      </c>
      <c r="G21" s="2" t="s">
        <v>89</v>
      </c>
      <c r="H21" s="2" t="s">
        <v>216</v>
      </c>
      <c r="I21" s="2" t="s">
        <v>217</v>
      </c>
      <c r="J21" s="2" t="s">
        <v>66</v>
      </c>
      <c r="K21" s="2" t="s">
        <v>81</v>
      </c>
      <c r="L21" s="2" t="s">
        <v>80</v>
      </c>
      <c r="M21" s="2" t="s">
        <v>21</v>
      </c>
    </row>
    <row r="22" spans="2:13" ht="14.4" customHeight="1" x14ac:dyDescent="0.3">
      <c r="B22" s="226"/>
      <c r="C22" s="2" t="s">
        <v>21</v>
      </c>
      <c r="D22" s="2" t="s">
        <v>21</v>
      </c>
      <c r="E22" s="2"/>
      <c r="F22" s="2" t="s">
        <v>13</v>
      </c>
      <c r="G22" s="2"/>
      <c r="H22" s="2"/>
      <c r="I22" s="2"/>
      <c r="J22" s="2" t="s">
        <v>67</v>
      </c>
      <c r="K22" s="2"/>
      <c r="L22" s="2" t="s">
        <v>77</v>
      </c>
      <c r="M22" s="2" t="s">
        <v>90</v>
      </c>
    </row>
    <row r="23" spans="2:13" ht="14.4" customHeight="1" x14ac:dyDescent="0.3">
      <c r="B23" s="226"/>
      <c r="C23" s="2" t="s">
        <v>90</v>
      </c>
      <c r="D23" s="2" t="s">
        <v>90</v>
      </c>
      <c r="E23" s="2"/>
      <c r="F23" s="2"/>
      <c r="G23" s="2"/>
      <c r="H23" s="2"/>
      <c r="I23" s="2"/>
      <c r="J23" s="2"/>
      <c r="K23" s="2"/>
      <c r="L23" s="2" t="s">
        <v>78</v>
      </c>
      <c r="M23" s="2"/>
    </row>
    <row r="24" spans="2:13" ht="14.4" customHeight="1" x14ac:dyDescent="0.3">
      <c r="B24" s="226"/>
      <c r="C24" s="2" t="s">
        <v>25</v>
      </c>
      <c r="D24" s="2" t="s">
        <v>25</v>
      </c>
      <c r="E24" s="2"/>
      <c r="F24" s="2"/>
      <c r="G24" s="2"/>
      <c r="H24" s="2"/>
      <c r="I24" s="2"/>
      <c r="J24" s="2"/>
      <c r="K24" s="2"/>
      <c r="L24" s="2" t="s">
        <v>79</v>
      </c>
      <c r="M24" s="2"/>
    </row>
    <row r="25" spans="2:13" ht="14.4" customHeight="1" x14ac:dyDescent="0.3">
      <c r="B25" s="226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2:13" ht="14.4" customHeight="1" x14ac:dyDescent="0.3">
      <c r="B26" s="226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2:13" ht="14.4" customHeight="1" x14ac:dyDescent="0.3">
      <c r="B27" s="226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2:13" ht="14.4" customHeight="1" x14ac:dyDescent="0.3">
      <c r="B28" s="226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2:13" ht="14.4" customHeight="1" x14ac:dyDescent="0.3">
      <c r="B29" s="227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2:13" ht="14.4" customHeight="1" x14ac:dyDescent="0.3">
      <c r="B30" s="2" t="s">
        <v>84</v>
      </c>
      <c r="C30" s="2" t="s">
        <v>134</v>
      </c>
      <c r="D30" s="2" t="s">
        <v>136</v>
      </c>
      <c r="E30" s="2" t="s">
        <v>138</v>
      </c>
      <c r="F30" s="2" t="s">
        <v>152</v>
      </c>
      <c r="G30" s="2" t="s">
        <v>154</v>
      </c>
      <c r="H30" s="2" t="s">
        <v>148</v>
      </c>
      <c r="I30" s="2" t="s">
        <v>149</v>
      </c>
      <c r="J30" s="2" t="s">
        <v>142</v>
      </c>
      <c r="K30" s="2" t="s">
        <v>170</v>
      </c>
      <c r="L30" s="2" t="s">
        <v>175</v>
      </c>
      <c r="M30" s="2" t="s">
        <v>144</v>
      </c>
    </row>
    <row r="31" spans="2:13" ht="14.4" customHeight="1" x14ac:dyDescent="0.3">
      <c r="B31" s="2" t="s">
        <v>85</v>
      </c>
      <c r="C31" s="2" t="s">
        <v>135</v>
      </c>
      <c r="D31" s="2" t="s">
        <v>137</v>
      </c>
      <c r="E31" s="2" t="s">
        <v>139</v>
      </c>
      <c r="F31" s="2" t="s">
        <v>153</v>
      </c>
      <c r="G31" s="2" t="s">
        <v>155</v>
      </c>
      <c r="H31" s="2" t="s">
        <v>149</v>
      </c>
      <c r="I31" s="2" t="s">
        <v>150</v>
      </c>
      <c r="J31" s="2" t="s">
        <v>143</v>
      </c>
      <c r="K31" s="2" t="s">
        <v>168</v>
      </c>
      <c r="L31" s="2" t="s">
        <v>176</v>
      </c>
      <c r="M31" s="2" t="s">
        <v>145</v>
      </c>
    </row>
    <row r="32" spans="2:13" ht="14.4" customHeight="1" x14ac:dyDescent="0.3">
      <c r="B32" s="2" t="s">
        <v>115</v>
      </c>
      <c r="C32" s="2" t="s">
        <v>131</v>
      </c>
      <c r="D32" s="2" t="s">
        <v>132</v>
      </c>
      <c r="E32" s="2" t="s">
        <v>133</v>
      </c>
      <c r="F32" s="2" t="s">
        <v>157</v>
      </c>
      <c r="G32" s="2" t="s">
        <v>151</v>
      </c>
      <c r="H32" s="2" t="s">
        <v>146</v>
      </c>
      <c r="I32" s="2" t="s">
        <v>147</v>
      </c>
      <c r="J32" s="2" t="s">
        <v>140</v>
      </c>
      <c r="K32" s="2" t="s">
        <v>169</v>
      </c>
      <c r="L32" s="2" t="s">
        <v>174</v>
      </c>
      <c r="M32" s="2" t="s">
        <v>141</v>
      </c>
    </row>
    <row r="34" spans="2:7" ht="14.4" customHeight="1" x14ac:dyDescent="0.3">
      <c r="B34" s="225" t="s">
        <v>83</v>
      </c>
      <c r="C34" s="3" t="s">
        <v>190</v>
      </c>
    </row>
    <row r="35" spans="2:7" ht="14.4" customHeight="1" x14ac:dyDescent="0.3">
      <c r="B35" s="226"/>
      <c r="C35" s="8" t="s">
        <v>178</v>
      </c>
      <c r="F35" s="10"/>
    </row>
    <row r="36" spans="2:7" ht="14.4" customHeight="1" x14ac:dyDescent="0.3">
      <c r="B36" s="226"/>
      <c r="C36" s="8" t="s">
        <v>91</v>
      </c>
    </row>
    <row r="37" spans="2:7" ht="14.4" customHeight="1" x14ac:dyDescent="0.3">
      <c r="B37" s="226"/>
      <c r="C37" s="8" t="s">
        <v>92</v>
      </c>
    </row>
    <row r="38" spans="2:7" ht="14.4" customHeight="1" x14ac:dyDescent="0.3">
      <c r="B38" s="226"/>
      <c r="C38" s="8" t="s">
        <v>179</v>
      </c>
    </row>
    <row r="39" spans="2:7" ht="14.4" customHeight="1" x14ac:dyDescent="0.3">
      <c r="B39" s="226"/>
      <c r="C39" s="8" t="s">
        <v>118</v>
      </c>
    </row>
    <row r="40" spans="2:7" ht="14.4" customHeight="1" x14ac:dyDescent="0.3">
      <c r="B40" s="226"/>
      <c r="C40" s="8" t="s">
        <v>198</v>
      </c>
    </row>
    <row r="41" spans="2:7" ht="14.4" customHeight="1" x14ac:dyDescent="0.3">
      <c r="B41" s="226"/>
      <c r="C41" s="8"/>
    </row>
    <row r="42" spans="2:7" ht="14.4" customHeight="1" x14ac:dyDescent="0.3">
      <c r="B42" s="226"/>
      <c r="C42" s="8"/>
    </row>
    <row r="43" spans="2:7" ht="14.4" customHeight="1" x14ac:dyDescent="0.3">
      <c r="B43" s="227"/>
      <c r="C43" s="8"/>
    </row>
    <row r="44" spans="2:7" ht="14.4" customHeight="1" x14ac:dyDescent="0.3">
      <c r="B44" s="2" t="s">
        <v>84</v>
      </c>
      <c r="C44" s="2" t="s">
        <v>136</v>
      </c>
    </row>
    <row r="45" spans="2:7" ht="14.4" customHeight="1" x14ac:dyDescent="0.3">
      <c r="B45" s="2" t="s">
        <v>85</v>
      </c>
      <c r="C45" s="2" t="s">
        <v>137</v>
      </c>
    </row>
    <row r="46" spans="2:7" ht="14.4" customHeight="1" x14ac:dyDescent="0.3">
      <c r="B46" s="2" t="s">
        <v>115</v>
      </c>
      <c r="C46" s="2" t="s">
        <v>132</v>
      </c>
    </row>
    <row r="48" spans="2:7" ht="14.4" customHeight="1" x14ac:dyDescent="0.3">
      <c r="B48" s="225" t="s">
        <v>60</v>
      </c>
      <c r="C48" s="3" t="s">
        <v>52</v>
      </c>
      <c r="D48" s="3" t="s">
        <v>72</v>
      </c>
      <c r="E48" s="3" t="s">
        <v>73</v>
      </c>
      <c r="F48" s="3" t="s">
        <v>9</v>
      </c>
      <c r="G48" s="3" t="s">
        <v>33</v>
      </c>
    </row>
    <row r="49" spans="2:7" ht="14.4" customHeight="1" x14ac:dyDescent="0.3">
      <c r="B49" s="226"/>
      <c r="C49" s="2" t="s">
        <v>55</v>
      </c>
      <c r="D49" s="2" t="s">
        <v>74</v>
      </c>
      <c r="E49" s="2" t="s">
        <v>180</v>
      </c>
      <c r="F49" s="2" t="s">
        <v>9</v>
      </c>
      <c r="G49" s="2" t="s">
        <v>44</v>
      </c>
    </row>
    <row r="50" spans="2:7" ht="14.4" customHeight="1" x14ac:dyDescent="0.3">
      <c r="B50" s="226"/>
      <c r="C50" s="2" t="s">
        <v>53</v>
      </c>
      <c r="D50" s="2"/>
      <c r="E50" s="2" t="s">
        <v>75</v>
      </c>
      <c r="F50" s="2"/>
      <c r="G50" s="2" t="s">
        <v>42</v>
      </c>
    </row>
    <row r="51" spans="2:7" ht="14.4" customHeight="1" x14ac:dyDescent="0.3">
      <c r="B51" s="226"/>
      <c r="C51" s="2" t="s">
        <v>54</v>
      </c>
      <c r="D51" s="2"/>
      <c r="E51" s="2"/>
      <c r="F51" s="2"/>
      <c r="G51" s="2" t="s">
        <v>9</v>
      </c>
    </row>
    <row r="52" spans="2:7" ht="14.4" customHeight="1" x14ac:dyDescent="0.3">
      <c r="B52" s="226"/>
      <c r="C52" s="2"/>
      <c r="D52" s="2"/>
      <c r="E52" s="2"/>
      <c r="F52" s="2"/>
      <c r="G52" s="9"/>
    </row>
    <row r="53" spans="2:7" ht="14.4" customHeight="1" x14ac:dyDescent="0.3">
      <c r="B53" s="226"/>
      <c r="C53" s="2"/>
      <c r="D53" s="2"/>
      <c r="E53" s="2"/>
      <c r="F53" s="2"/>
      <c r="G53" s="2"/>
    </row>
    <row r="54" spans="2:7" ht="14.4" customHeight="1" x14ac:dyDescent="0.3">
      <c r="B54" s="226"/>
      <c r="C54" s="2"/>
      <c r="D54" s="2"/>
      <c r="E54" s="2"/>
      <c r="F54" s="2"/>
      <c r="G54" s="2"/>
    </row>
    <row r="55" spans="2:7" ht="14.4" customHeight="1" x14ac:dyDescent="0.3">
      <c r="B55" s="226"/>
      <c r="C55" s="2"/>
      <c r="D55" s="2"/>
      <c r="E55" s="2"/>
      <c r="F55" s="2"/>
      <c r="G55" s="2"/>
    </row>
    <row r="56" spans="2:7" ht="14.4" customHeight="1" x14ac:dyDescent="0.3">
      <c r="B56" s="226"/>
      <c r="C56" s="2"/>
      <c r="D56" s="2"/>
      <c r="E56" s="2"/>
      <c r="F56" s="2"/>
      <c r="G56" s="2"/>
    </row>
    <row r="57" spans="2:7" ht="14.4" customHeight="1" x14ac:dyDescent="0.3">
      <c r="B57" s="227"/>
      <c r="C57" s="2"/>
      <c r="D57" s="2"/>
      <c r="E57" s="2"/>
      <c r="F57" s="2"/>
      <c r="G57" s="2" t="s">
        <v>9</v>
      </c>
    </row>
    <row r="58" spans="2:7" ht="14.4" customHeight="1" x14ac:dyDescent="0.3">
      <c r="B58" s="2" t="s">
        <v>84</v>
      </c>
      <c r="C58" s="2" t="s">
        <v>163</v>
      </c>
      <c r="D58" s="2" t="s">
        <v>165</v>
      </c>
      <c r="E58" s="2" t="s">
        <v>167</v>
      </c>
      <c r="F58" s="2" t="s">
        <v>172</v>
      </c>
      <c r="G58" s="2" t="s">
        <v>158</v>
      </c>
    </row>
    <row r="59" spans="2:7" ht="14.4" customHeight="1" x14ac:dyDescent="0.3">
      <c r="B59" s="2" t="s">
        <v>85</v>
      </c>
      <c r="C59" s="2" t="s">
        <v>164</v>
      </c>
      <c r="D59" s="2" t="s">
        <v>166</v>
      </c>
      <c r="E59" s="2" t="s">
        <v>168</v>
      </c>
      <c r="F59" s="2" t="s">
        <v>173</v>
      </c>
      <c r="G59" s="2" t="s">
        <v>159</v>
      </c>
    </row>
    <row r="60" spans="2:7" ht="14.4" customHeight="1" x14ac:dyDescent="0.3">
      <c r="B60" s="2" t="s">
        <v>115</v>
      </c>
      <c r="C60" s="2" t="s">
        <v>160</v>
      </c>
      <c r="D60" s="2" t="s">
        <v>161</v>
      </c>
      <c r="E60" s="2" t="s">
        <v>162</v>
      </c>
      <c r="F60" s="2" t="s">
        <v>171</v>
      </c>
      <c r="G60" s="2" t="s">
        <v>156</v>
      </c>
    </row>
    <row r="62" spans="2:7" ht="14.4" customHeight="1" x14ac:dyDescent="0.3">
      <c r="B62" s="3" t="s">
        <v>181</v>
      </c>
      <c r="C62" s="3" t="s">
        <v>182</v>
      </c>
      <c r="D62" s="3" t="s">
        <v>183</v>
      </c>
      <c r="E62" s="3" t="s">
        <v>184</v>
      </c>
    </row>
    <row r="63" spans="2:7" ht="14.4" customHeight="1" x14ac:dyDescent="0.3">
      <c r="B63" s="215" t="s">
        <v>185</v>
      </c>
      <c r="C63" s="1" t="s">
        <v>186</v>
      </c>
      <c r="D63" s="1">
        <v>14.4</v>
      </c>
      <c r="E63" s="1">
        <v>3</v>
      </c>
    </row>
    <row r="64" spans="2:7" ht="14.4" customHeight="1" x14ac:dyDescent="0.3">
      <c r="B64" s="215"/>
      <c r="C64" s="1" t="s">
        <v>187</v>
      </c>
      <c r="D64" s="1">
        <v>14.4</v>
      </c>
      <c r="E64" s="1">
        <v>11</v>
      </c>
    </row>
    <row r="65" spans="2:5" ht="14.4" customHeight="1" x14ac:dyDescent="0.3">
      <c r="B65" s="215" t="s">
        <v>30</v>
      </c>
      <c r="C65" s="1" t="s">
        <v>186</v>
      </c>
      <c r="D65" s="1">
        <v>19.8</v>
      </c>
      <c r="E65" s="1">
        <v>3</v>
      </c>
    </row>
    <row r="66" spans="2:5" ht="14.4" customHeight="1" x14ac:dyDescent="0.3">
      <c r="B66" s="215"/>
      <c r="C66" s="1" t="s">
        <v>187</v>
      </c>
      <c r="D66" s="1">
        <v>19.8</v>
      </c>
      <c r="E66" s="1">
        <v>11</v>
      </c>
    </row>
    <row r="67" spans="2:5" ht="14.4" customHeight="1" x14ac:dyDescent="0.3">
      <c r="B67" s="215" t="s">
        <v>31</v>
      </c>
      <c r="C67" s="1" t="s">
        <v>186</v>
      </c>
      <c r="D67" s="1">
        <v>14.4</v>
      </c>
      <c r="E67" s="1">
        <v>3</v>
      </c>
    </row>
    <row r="68" spans="2:5" ht="14.4" customHeight="1" x14ac:dyDescent="0.3">
      <c r="B68" s="215"/>
      <c r="C68" s="1" t="s">
        <v>0</v>
      </c>
      <c r="D68" s="1">
        <v>14.4</v>
      </c>
      <c r="E68" s="1">
        <v>4.8899999999999997</v>
      </c>
    </row>
    <row r="69" spans="2:5" ht="14.4" customHeight="1" x14ac:dyDescent="0.3">
      <c r="B69" s="215"/>
      <c r="C69" s="1" t="s">
        <v>1</v>
      </c>
      <c r="D69" s="1">
        <v>14.4</v>
      </c>
      <c r="E69" s="1">
        <v>19.89</v>
      </c>
    </row>
    <row r="70" spans="2:5" ht="14.4" customHeight="1" x14ac:dyDescent="0.3">
      <c r="B70" s="215"/>
      <c r="C70" s="1" t="s">
        <v>2</v>
      </c>
      <c r="D70" s="1">
        <v>14.4</v>
      </c>
      <c r="E70" s="1">
        <v>19.89</v>
      </c>
    </row>
    <row r="71" spans="2:5" ht="14.4" customHeight="1" x14ac:dyDescent="0.3">
      <c r="B71" s="215"/>
      <c r="C71" s="1" t="s">
        <v>33</v>
      </c>
      <c r="D71" s="1">
        <v>14.4</v>
      </c>
      <c r="E71" s="1">
        <v>12.11</v>
      </c>
    </row>
    <row r="72" spans="2:5" ht="14.4" customHeight="1" x14ac:dyDescent="0.3">
      <c r="B72" s="215"/>
      <c r="C72" s="1" t="s">
        <v>3</v>
      </c>
      <c r="D72" s="1">
        <v>14.4</v>
      </c>
      <c r="E72" s="1">
        <v>12.11</v>
      </c>
    </row>
    <row r="73" spans="2:5" ht="14.4" customHeight="1" x14ac:dyDescent="0.3">
      <c r="B73" s="215"/>
      <c r="C73" s="1" t="s">
        <v>4</v>
      </c>
      <c r="D73" s="1">
        <v>14.4</v>
      </c>
      <c r="E73" s="1">
        <v>14.78</v>
      </c>
    </row>
    <row r="74" spans="2:5" ht="14.4" customHeight="1" x14ac:dyDescent="0.3">
      <c r="B74" s="215"/>
      <c r="C74" s="1" t="s">
        <v>5</v>
      </c>
      <c r="D74" s="1">
        <v>14.4</v>
      </c>
      <c r="E74" s="1">
        <v>16.78</v>
      </c>
    </row>
    <row r="75" spans="2:5" ht="14.4" customHeight="1" x14ac:dyDescent="0.3">
      <c r="B75" s="215" t="s">
        <v>60</v>
      </c>
      <c r="C75" s="1" t="s">
        <v>186</v>
      </c>
      <c r="D75" s="1">
        <v>14.4</v>
      </c>
      <c r="E75" s="1">
        <v>3</v>
      </c>
    </row>
    <row r="76" spans="2:5" ht="14.4" customHeight="1" x14ac:dyDescent="0.3">
      <c r="B76" s="215"/>
      <c r="C76" s="1" t="s">
        <v>0</v>
      </c>
      <c r="D76" s="1">
        <v>14.4</v>
      </c>
      <c r="E76" s="1">
        <v>4.8899999999999997</v>
      </c>
    </row>
    <row r="77" spans="2:5" ht="14.4" customHeight="1" x14ac:dyDescent="0.3">
      <c r="B77" s="215"/>
      <c r="C77" s="1" t="s">
        <v>1</v>
      </c>
      <c r="D77" s="1">
        <v>14.4</v>
      </c>
      <c r="E77" s="1">
        <v>19.89</v>
      </c>
    </row>
    <row r="78" spans="2:5" ht="14.4" customHeight="1" x14ac:dyDescent="0.3">
      <c r="B78" s="215"/>
      <c r="C78" s="1" t="s">
        <v>2</v>
      </c>
      <c r="D78" s="1">
        <v>14.4</v>
      </c>
      <c r="E78" s="1">
        <v>19.89</v>
      </c>
    </row>
    <row r="79" spans="2:5" ht="14.4" customHeight="1" x14ac:dyDescent="0.3">
      <c r="B79" s="215"/>
      <c r="C79" s="1" t="s">
        <v>33</v>
      </c>
      <c r="D79" s="1">
        <v>14.4</v>
      </c>
      <c r="E79" s="1">
        <v>12.11</v>
      </c>
    </row>
    <row r="80" spans="2:5" ht="14.4" customHeight="1" x14ac:dyDescent="0.3">
      <c r="B80" s="215"/>
      <c r="C80" s="1" t="s">
        <v>3</v>
      </c>
      <c r="D80" s="1">
        <v>14.4</v>
      </c>
      <c r="E80" s="1">
        <v>12.11</v>
      </c>
    </row>
    <row r="81" spans="2:5" ht="14.4" customHeight="1" x14ac:dyDescent="0.3">
      <c r="B81" s="215"/>
      <c r="C81" s="1" t="s">
        <v>4</v>
      </c>
      <c r="D81" s="1">
        <v>14.4</v>
      </c>
      <c r="E81" s="1">
        <v>14.78</v>
      </c>
    </row>
    <row r="82" spans="2:5" ht="14.4" customHeight="1" x14ac:dyDescent="0.3">
      <c r="B82" s="215"/>
      <c r="C82" s="1" t="s">
        <v>5</v>
      </c>
      <c r="D82" s="1">
        <v>14.4</v>
      </c>
      <c r="E82" s="1">
        <v>16.78</v>
      </c>
    </row>
    <row r="83" spans="2:5" ht="14.4" customHeight="1" x14ac:dyDescent="0.3">
      <c r="B83" s="215" t="s">
        <v>59</v>
      </c>
      <c r="C83" s="1" t="s">
        <v>186</v>
      </c>
      <c r="D83" s="1">
        <v>14.4</v>
      </c>
      <c r="E83" s="1">
        <v>3</v>
      </c>
    </row>
    <row r="84" spans="2:5" ht="14.4" customHeight="1" x14ac:dyDescent="0.3">
      <c r="B84" s="215"/>
      <c r="C84" s="1" t="s">
        <v>187</v>
      </c>
      <c r="D84" s="1">
        <v>14.4</v>
      </c>
      <c r="E84" s="1">
        <v>18</v>
      </c>
    </row>
    <row r="85" spans="2:5" ht="14.4" customHeight="1" x14ac:dyDescent="0.3">
      <c r="B85" s="213" t="s">
        <v>309</v>
      </c>
      <c r="C85" s="2" t="s">
        <v>186</v>
      </c>
      <c r="D85" s="2">
        <v>14.4</v>
      </c>
      <c r="E85" s="2">
        <v>3</v>
      </c>
    </row>
    <row r="86" spans="2:5" ht="14.4" customHeight="1" x14ac:dyDescent="0.3">
      <c r="B86" s="214"/>
      <c r="C86" s="2" t="s">
        <v>187</v>
      </c>
      <c r="D86" s="2">
        <v>14.4</v>
      </c>
      <c r="E86" s="2">
        <v>14</v>
      </c>
    </row>
    <row r="87" spans="2:5" ht="14.4" customHeight="1" x14ac:dyDescent="0.3">
      <c r="B87" s="20" t="s">
        <v>218</v>
      </c>
      <c r="C87" s="2" t="s">
        <v>219</v>
      </c>
      <c r="D87" s="2">
        <v>14.4</v>
      </c>
      <c r="E87" s="2">
        <v>15</v>
      </c>
    </row>
  </sheetData>
  <mergeCells count="11">
    <mergeCell ref="B85:B86"/>
    <mergeCell ref="B83:B84"/>
    <mergeCell ref="B63:B64"/>
    <mergeCell ref="B2:M4"/>
    <mergeCell ref="B65:B66"/>
    <mergeCell ref="B67:B74"/>
    <mergeCell ref="B75:B82"/>
    <mergeCell ref="B48:B57"/>
    <mergeCell ref="B6:B15"/>
    <mergeCell ref="B34:B43"/>
    <mergeCell ref="B20:B2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86F82-FE32-4976-8E23-EE1FD0A7D9F0}">
  <dimension ref="A1:L64"/>
  <sheetViews>
    <sheetView zoomScale="90" zoomScaleNormal="90" workbookViewId="0">
      <selection activeCell="C16" sqref="C16"/>
    </sheetView>
  </sheetViews>
  <sheetFormatPr defaultColWidth="20.77734375" defaultRowHeight="14.4" x14ac:dyDescent="0.3"/>
  <sheetData>
    <row r="1" spans="1:11" x14ac:dyDescent="0.3">
      <c r="A1" s="232" t="s">
        <v>245</v>
      </c>
      <c r="B1" s="232"/>
      <c r="C1" s="232"/>
      <c r="D1" s="232"/>
      <c r="E1" s="232"/>
      <c r="F1" s="232"/>
      <c r="G1" s="232"/>
      <c r="H1" s="232"/>
      <c r="I1" s="232"/>
      <c r="J1" s="232"/>
      <c r="K1" s="10"/>
    </row>
    <row r="2" spans="1:11" x14ac:dyDescent="0.3">
      <c r="A2" s="10"/>
      <c r="B2" s="10"/>
      <c r="C2" s="10"/>
      <c r="D2" s="10"/>
      <c r="E2" s="21" t="s">
        <v>236</v>
      </c>
      <c r="F2" s="21" t="s">
        <v>237</v>
      </c>
      <c r="H2" s="10"/>
      <c r="I2" s="10"/>
      <c r="J2" s="10"/>
      <c r="K2" s="10"/>
    </row>
    <row r="3" spans="1:11" x14ac:dyDescent="0.3">
      <c r="A3" s="2" t="s">
        <v>220</v>
      </c>
      <c r="B3" s="2" t="s">
        <v>223</v>
      </c>
      <c r="C3" s="2" t="s">
        <v>226</v>
      </c>
      <c r="D3" s="2" t="s">
        <v>231</v>
      </c>
      <c r="E3" s="2" t="s">
        <v>98</v>
      </c>
      <c r="F3" s="2" t="s">
        <v>107</v>
      </c>
      <c r="H3" s="2" t="s">
        <v>239</v>
      </c>
      <c r="J3" s="2" t="s">
        <v>242</v>
      </c>
      <c r="K3" s="10"/>
    </row>
    <row r="4" spans="1:11" x14ac:dyDescent="0.3">
      <c r="A4" s="11">
        <f>SUMIFS(Pendapatan!G6:G15, Pendapatan!E6:E15, "Digital")+SUMIFS(Pendapatan!G6:G15, Pendapatan!D6:D15, "Deposit")-SUMIFS(Pendapatan!G6:G15, Pendapatan!D6:D15, "Tarik Tunai")</f>
        <v>0</v>
      </c>
      <c r="B4" s="11">
        <f>SUMIFS(Pendapatan!G6:G15, Pendapatan!E6:E15, "Tunai")
-SUMIFS(Pendapatan!G6:G15, Pendapatan!D6:D15, "Deposit")
+SUMIFS(Pendapatan!G6:G15, Pendapatan!D6:D15, "Tarik Tunai")</f>
        <v>0</v>
      </c>
      <c r="C4" s="11">
        <f>SUMIFS(Pengeluaran!$G$9:$G$129, Pengeluaran!$F$9:$F$129, "&gt;="&amp;'Detail Transaksi'!B48, Pengeluaran!$F$9:$F$129, "&lt;="&amp;'Detail Transaksi'!E48)
+ SUMIFS(Pengeluaran!$O$9:$O$88, Pengeluaran!$N$9:$N$88, "&gt;="&amp;'Detail Transaksi'!B48, Pengeluaran!$N$9:$N$88, "&lt;="&amp;'Detail Transaksi'!E48)</f>
        <v>0</v>
      </c>
      <c r="D4" s="2">
        <f ca="1">_xlfn.DAYS('Detail Transaksi'!W8, TODAY())</f>
        <v>-1</v>
      </c>
      <c r="E4" s="23" cm="1">
        <f t="array" ref="E4">SUM(SUMIFS(Pengeluaran!G9:G129, Pengeluaran!C9:C129, {"Sarapan";"Makan_Siang";"Makan_Malam";"Sahur";"Buka_Puasa"}, Pengeluaran!E9:E129, "Digital"))</f>
        <v>0</v>
      </c>
      <c r="F4" s="23" cm="1">
        <f t="array" ref="F4">SUM(SUMIFS(Pengeluaran!G9:G129, Pengeluaran!C9:C129, {"Sarapan";"Makan_Siang";"Makan_Malam";"Sahur";"Buka_Puasa"}, Pengeluaran!E9:E129, "Tunai"))</f>
        <v>0</v>
      </c>
      <c r="H4" s="23" cm="1">
        <f t="array" ref="H4">SUM(SUMIFS(Pengeluaran!G9:G129, Pengeluaran!C9:C129, {"Sarapan";"Makan_Siang";"Makan_Malam";"Sahur";"Buka_Puasa"}))</f>
        <v>0</v>
      </c>
      <c r="J4" s="23">
        <f>('Detail Transaksi'!D9+'Detail Transaksi'!R9)*'Detail Transaksi'!V47</f>
        <v>0</v>
      </c>
      <c r="K4" s="10"/>
    </row>
    <row r="5" spans="1:11" x14ac:dyDescent="0.3">
      <c r="A5" s="10"/>
      <c r="B5" s="10"/>
      <c r="C5" s="10"/>
      <c r="D5" s="10"/>
      <c r="E5" s="10"/>
      <c r="F5" s="10"/>
      <c r="H5" s="10"/>
      <c r="J5" s="10"/>
      <c r="K5" s="10"/>
    </row>
    <row r="6" spans="1:11" x14ac:dyDescent="0.3">
      <c r="A6" s="2" t="s">
        <v>221</v>
      </c>
      <c r="B6" s="2" t="s">
        <v>224</v>
      </c>
      <c r="C6" s="2" t="s">
        <v>227</v>
      </c>
      <c r="D6" s="2" t="s">
        <v>232</v>
      </c>
      <c r="E6" s="2" t="s">
        <v>99</v>
      </c>
      <c r="F6" s="2" t="s">
        <v>108</v>
      </c>
      <c r="H6" s="2" t="s">
        <v>240</v>
      </c>
      <c r="J6" s="2" t="s">
        <v>243</v>
      </c>
      <c r="K6" s="10"/>
    </row>
    <row r="7" spans="1:11" x14ac:dyDescent="0.3">
      <c r="A7" s="11">
        <f>'Detail Transaksi'!D9-SUMIF(Pengeluaran!E9:E129, "Digital", Pengeluaran!G9:G129)
-SUMIF(Pengeluaran!M9:M88, "Digital", Pengeluaran!O9:O88)</f>
        <v>0</v>
      </c>
      <c r="B7" s="11">
        <f>'Detail Transaksi'!R9-SUMIF(Pengeluaran!E9:E129, "Tunai", Pengeluaran!G9:G129)
-SUMIF(Pengeluaran!M9:M88, "Tunai", Pengeluaran!O9:O88)</f>
        <v>0</v>
      </c>
      <c r="C7" s="11">
        <f>SUMIFS(Pengeluaran!$G$9:$G$129, Pengeluaran!$F$9:$F$129, "&gt;="&amp;'Detail Transaksi'!B49, Pengeluaran!$F$9:$F$129, "&lt;="&amp;'Detail Transaksi'!E49)
+ SUMIFS(Pengeluaran!$O$9:$O$88, Pengeluaran!$N$9:$N$88, "&gt;="&amp;'Detail Transaksi'!B49, Pengeluaran!$N$9:$N$88, "&lt;="&amp;'Detail Transaksi'!E49)</f>
        <v>0</v>
      </c>
      <c r="D7" s="11">
        <f>('Detail Transaksi'!D9+'Detail Transaksi'!R9)/DAY('Detail Transaksi'!W8)</f>
        <v>0</v>
      </c>
      <c r="E7" s="23">
        <f>SUMIF(Pengeluaran!M9:M88, "Digital", Pengeluaran!O9:O88)</f>
        <v>0</v>
      </c>
      <c r="F7" s="23">
        <f>SUMIF(Pengeluaran!M9:M88, "Tunai", Pengeluaran!O9:O88)</f>
        <v>0</v>
      </c>
      <c r="H7" s="23">
        <f>Pengeluaran!P9</f>
        <v>0</v>
      </c>
      <c r="J7" s="23">
        <f>('Detail Transaksi'!D9+'Detail Transaksi'!R9)*'Detail Transaksi'!V49</f>
        <v>0</v>
      </c>
      <c r="K7" s="10"/>
    </row>
    <row r="8" spans="1:11" x14ac:dyDescent="0.3">
      <c r="A8" s="10"/>
      <c r="B8" s="10"/>
      <c r="C8" s="10"/>
      <c r="D8" s="10"/>
      <c r="E8" s="10"/>
      <c r="F8" s="10"/>
      <c r="H8" s="10"/>
      <c r="J8" s="10"/>
      <c r="K8" s="10"/>
    </row>
    <row r="9" spans="1:11" x14ac:dyDescent="0.3">
      <c r="A9" s="2" t="s">
        <v>222</v>
      </c>
      <c r="B9" s="2" t="s">
        <v>225</v>
      </c>
      <c r="C9" s="2" t="s">
        <v>228</v>
      </c>
      <c r="D9" s="2" t="s">
        <v>233</v>
      </c>
      <c r="E9" s="2" t="s">
        <v>191</v>
      </c>
      <c r="F9" s="2" t="s">
        <v>192</v>
      </c>
      <c r="H9" s="2" t="s">
        <v>241</v>
      </c>
      <c r="J9" s="2" t="s">
        <v>244</v>
      </c>
      <c r="K9" s="10"/>
    </row>
    <row r="10" spans="1:11" x14ac:dyDescent="0.3">
      <c r="A10" s="11">
        <f>SUMIFS(Pendapatan!G6:G15, Pendapatan!C6:C15, "Sisa", Pendapatan!E6:E15, "Digital")</f>
        <v>0</v>
      </c>
      <c r="B10" s="11">
        <f>SUMIFS(Pendapatan!G6:G15, Pendapatan!C6:C15, "Sisa", Pendapatan!E6:E15, "Tunai")</f>
        <v>0</v>
      </c>
      <c r="C10" s="11">
        <f>SUMIFS(Pengeluaran!$G$9:$G$129, Pengeluaran!$F$9:$F$129, "&gt;="&amp;'Detail Transaksi'!B50, Pengeluaran!$F$9:$F$129, "&lt;="&amp;'Detail Transaksi'!E50)
+ SUMIFS(Pengeluaran!$O$9:$O$88, Pengeluaran!$N$9:$N$88, "&gt;="&amp;'Detail Transaksi'!B50, Pengeluaran!$N$9:$N$88, "&lt;="&amp;'Detail Transaksi'!E50)</f>
        <v>0</v>
      </c>
      <c r="D10" s="23">
        <f ca="1">SUMIFS(Pengeluaran!G9:G129, Pengeluaran!F9:F129, TODAY(), Pengeluaran!E9:E129, "Digital")
+ SUMIFS(Pengeluaran!O9:O88, Pengeluaran!N9:N88, TODAY(), Pengeluaran!M9:M88, "Digital")</f>
        <v>0</v>
      </c>
      <c r="E10" s="23" cm="1">
        <f t="array" ref="E10">SUM(SUMIFS(Pengeluaran!G9:G129, Pengeluaran!C9:C129, {"Jajan"}, Pengeluaran!E9:E129, "Digital"))</f>
        <v>0</v>
      </c>
      <c r="F10" s="23" cm="1">
        <f t="array" ref="F10">SUM(SUMIFS(Pengeluaran!G9:G129, Pengeluaran!C9:C129, {"Jajan"}, Pengeluaran!E9:E129, "Tunai"))</f>
        <v>0</v>
      </c>
      <c r="H10" s="23" cm="1">
        <f t="array" ref="H10">SUM(SUMIFS(Pengeluaran!G9:G129, Pengeluaran!C9:C129, {"Jajan"}))</f>
        <v>0</v>
      </c>
      <c r="J10" s="23">
        <f>('Detail Transaksi'!D9+'Detail Transaksi'!R9)*'Detail Transaksi'!V51</f>
        <v>0</v>
      </c>
      <c r="K10" s="10"/>
    </row>
    <row r="11" spans="1:11" x14ac:dyDescent="0.3">
      <c r="A11" s="10"/>
      <c r="B11" s="10"/>
      <c r="C11" s="10"/>
      <c r="D11" s="10"/>
      <c r="E11" s="10"/>
      <c r="F11" s="10"/>
      <c r="H11" s="10"/>
      <c r="I11" s="10"/>
      <c r="J11" s="10"/>
      <c r="K11" s="10"/>
    </row>
    <row r="12" spans="1:11" x14ac:dyDescent="0.3">
      <c r="A12" s="10"/>
      <c r="B12" s="10"/>
      <c r="C12" s="2" t="s">
        <v>229</v>
      </c>
      <c r="D12" s="2" t="s">
        <v>234</v>
      </c>
      <c r="E12" s="2" t="s">
        <v>100</v>
      </c>
      <c r="F12" s="2" t="s">
        <v>109</v>
      </c>
      <c r="H12" s="10"/>
      <c r="I12" s="10"/>
      <c r="J12" s="10"/>
      <c r="K12" s="10"/>
    </row>
    <row r="13" spans="1:11" x14ac:dyDescent="0.3">
      <c r="A13" s="10"/>
      <c r="B13" s="10"/>
      <c r="C13" s="11">
        <f>SUMIFS(Pengeluaran!$G$9:$G$129, Pengeluaran!$F$9:$F$129, "&gt;="&amp;'Detail Transaksi'!B51, Pengeluaran!$F$9:$F$129, "&lt;="&amp;'Detail Transaksi'!E51)
+ SUMIFS(Pengeluaran!$O$9:$O$88, Pengeluaran!$N$9:$N$88, "&gt;="&amp;'Detail Transaksi'!B51, Pengeluaran!$N$9:$N$88, "&lt;="&amp;'Detail Transaksi'!E51)</f>
        <v>0</v>
      </c>
      <c r="D13" s="23">
        <f ca="1">SUMIFS(Pengeluaran!G9:G129, Pengeluaran!F9:F129, TODAY(), Pengeluaran!E9:E129, "Tunai")
+ SUMIFS(Pengeluaran!O9:O88, Pengeluaran!N9:N88, TODAY(), Pengeluaran!M9:M88, "Tunai")</f>
        <v>0</v>
      </c>
      <c r="E13" s="23">
        <f>'Detail Transaksi'!D12</f>
        <v>0</v>
      </c>
      <c r="F13" s="23">
        <f>'Detail Transaksi'!R12</f>
        <v>0</v>
      </c>
      <c r="H13" s="10"/>
      <c r="I13" s="10"/>
      <c r="J13" s="10"/>
      <c r="K13" s="10"/>
    </row>
    <row r="14" spans="1:11" x14ac:dyDescent="0.3">
      <c r="A14" s="10"/>
      <c r="B14" s="10"/>
      <c r="C14" s="10"/>
      <c r="D14" s="10"/>
      <c r="E14" s="10"/>
      <c r="F14" s="10"/>
      <c r="H14" s="10"/>
      <c r="I14" s="10"/>
      <c r="J14" s="10"/>
      <c r="K14" s="10"/>
    </row>
    <row r="15" spans="1:11" x14ac:dyDescent="0.3">
      <c r="A15" s="10"/>
      <c r="B15" s="10"/>
      <c r="C15" s="2" t="s">
        <v>230</v>
      </c>
      <c r="D15" s="2" t="s">
        <v>235</v>
      </c>
      <c r="E15" s="10"/>
      <c r="F15" s="10"/>
      <c r="H15" s="10"/>
      <c r="I15" s="10"/>
      <c r="J15" s="10"/>
      <c r="K15" s="10"/>
    </row>
    <row r="16" spans="1:11" x14ac:dyDescent="0.3">
      <c r="A16" s="10"/>
      <c r="B16" s="10"/>
      <c r="C16" s="11">
        <f>SUMIFS(Pengeluaran!$G$9:$G$129, Pengeluaran!$F$9:$F$129, "&gt;="&amp;'Detail Transaksi'!B52, Pengeluaran!$F$9:$F$129, "&lt;="&amp;'Detail Transaksi'!E52)
+ SUMIFS(Pengeluaran!$O$9:$O$88, Pengeluaran!$N$9:$N$88, "&gt;="&amp;'Detail Transaksi'!B52, Pengeluaran!$N$9:$N$88, "&lt;="&amp;'Detail Transaksi'!E52)</f>
        <v>0</v>
      </c>
      <c r="D16" s="23">
        <f ca="1">('Detail Transaksi'!W23+'Detail Transaksi'!W28)</f>
        <v>0</v>
      </c>
      <c r="E16" s="10"/>
      <c r="F16" s="10"/>
      <c r="H16" s="10"/>
      <c r="I16" s="10"/>
      <c r="J16" s="10"/>
      <c r="K16" s="10"/>
    </row>
    <row r="17" spans="1:11" x14ac:dyDescent="0.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3">
      <c r="A18" s="10"/>
      <c r="B18" s="10"/>
      <c r="C18" s="2" t="s">
        <v>238</v>
      </c>
      <c r="D18" s="10"/>
      <c r="E18" s="10"/>
      <c r="F18" s="10"/>
      <c r="H18" s="10"/>
      <c r="I18" s="10"/>
      <c r="J18" s="10"/>
      <c r="K18" s="10"/>
    </row>
    <row r="19" spans="1:11" x14ac:dyDescent="0.3">
      <c r="A19" s="10"/>
      <c r="B19" s="10"/>
      <c r="C19" s="23">
        <f>('Detail Transaksi'!D9+'Detail Transaksi'!R9)-SUM('Detail Transaksi'!K8:N17)</f>
        <v>0</v>
      </c>
      <c r="D19" s="10"/>
      <c r="E19" s="10"/>
      <c r="F19" s="10"/>
      <c r="H19" s="10"/>
      <c r="I19" s="10"/>
      <c r="J19" s="10"/>
      <c r="K19" s="10"/>
    </row>
    <row r="20" spans="1:11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3">
      <c r="A21" s="233" t="s">
        <v>246</v>
      </c>
      <c r="B21" s="232"/>
      <c r="C21" s="232"/>
      <c r="D21" s="232"/>
      <c r="E21" s="232"/>
      <c r="F21" s="232"/>
      <c r="G21" s="234"/>
      <c r="H21" s="232"/>
      <c r="I21" s="232"/>
      <c r="J21" s="232"/>
      <c r="K21" s="10"/>
    </row>
    <row r="22" spans="1:11" x14ac:dyDescent="0.3">
      <c r="A22" s="2" t="s">
        <v>247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3">
      <c r="A23" s="24">
        <f>SUM(Pengeluaran!G9:G129)</f>
        <v>0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3">
      <c r="A25" s="2" t="s">
        <v>248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3">
      <c r="A26" s="23">
        <f>SUM(Pengeluaran!O9:O88)</f>
        <v>0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x14ac:dyDescent="0.3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</row>
    <row r="28" spans="1:11" x14ac:dyDescent="0.3">
      <c r="A28" s="229" t="s">
        <v>250</v>
      </c>
      <c r="B28" s="230"/>
      <c r="C28" s="230"/>
      <c r="D28" s="230"/>
      <c r="E28" s="230"/>
      <c r="F28" s="230"/>
      <c r="G28" s="230"/>
      <c r="H28" s="230"/>
      <c r="I28" s="230"/>
      <c r="J28" s="231"/>
      <c r="K28" s="10"/>
    </row>
    <row r="29" spans="1:11" x14ac:dyDescent="0.3">
      <c r="A29" s="2" t="s">
        <v>249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</row>
    <row r="30" spans="1:11" x14ac:dyDescent="0.3">
      <c r="A30" s="23">
        <f>SUMIFS(Pendapatan!G6:G15, Pendapatan!C6:C15, "&lt;&gt;Transisi")</f>
        <v>0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</row>
    <row r="31" spans="1:11" x14ac:dyDescent="0.3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</row>
    <row r="32" spans="1:11" x14ac:dyDescent="0.3">
      <c r="A32" s="229" t="s">
        <v>251</v>
      </c>
      <c r="B32" s="230"/>
      <c r="C32" s="230"/>
      <c r="D32" s="230"/>
      <c r="E32" s="230"/>
      <c r="F32" s="230"/>
      <c r="G32" s="230"/>
      <c r="H32" s="230"/>
      <c r="I32" s="230"/>
      <c r="J32" s="231"/>
      <c r="K32" s="10"/>
    </row>
    <row r="33" spans="1:11" x14ac:dyDescent="0.3">
      <c r="A33" s="235" t="s">
        <v>252</v>
      </c>
      <c r="B33" s="235"/>
      <c r="C33" s="235"/>
      <c r="D33" s="235"/>
      <c r="E33" s="235"/>
      <c r="F33" s="235"/>
      <c r="G33" s="235"/>
      <c r="H33" s="10"/>
      <c r="I33" s="10"/>
      <c r="J33" s="10"/>
      <c r="K33" s="10"/>
    </row>
    <row r="34" spans="1:11" x14ac:dyDescent="0.3">
      <c r="A34" s="2">
        <v>1</v>
      </c>
      <c r="B34" s="2">
        <v>2</v>
      </c>
      <c r="C34" s="2">
        <v>3</v>
      </c>
      <c r="D34" s="2">
        <v>4</v>
      </c>
      <c r="E34" s="2">
        <v>5</v>
      </c>
      <c r="F34" s="2">
        <v>6</v>
      </c>
      <c r="G34" s="2">
        <v>7</v>
      </c>
      <c r="H34" s="2" t="s">
        <v>253</v>
      </c>
      <c r="I34" s="2" t="s">
        <v>254</v>
      </c>
      <c r="J34" s="2" t="s">
        <v>255</v>
      </c>
      <c r="K34" s="2" t="s">
        <v>256</v>
      </c>
    </row>
    <row r="35" spans="1:11" x14ac:dyDescent="0.3">
      <c r="A35" s="23">
        <f>SUMIFS(Pengeluaran!$G$9:$G$129,Pengeluaran!$F$9:$F$129,'Akhir Bulan'!B9)+
SUMIFS(Pengeluaran!$O$9:$O$88,Pengeluaran!$N$9:$N$88,'Akhir Bulan'!B9)</f>
        <v>0</v>
      </c>
      <c r="B35" s="23">
        <f>SUMIFS(Pengeluaran!$G$9:$G$129,Pengeluaran!$F$9:$F$129,'Akhir Bulan'!C9)+
SUMIFS(Pengeluaran!$O$9:$O$88,Pengeluaran!$N$9:$N$88,'Akhir Bulan'!C9)</f>
        <v>0</v>
      </c>
      <c r="C35" s="23">
        <f>SUMIFS(Pengeluaran!$G$9:$G$129,Pengeluaran!$F$9:$F$129,'Akhir Bulan'!D9)+
SUMIFS(Pengeluaran!$O$9:$O$88,Pengeluaran!$N$9:$N$88,'Akhir Bulan'!D9)</f>
        <v>0</v>
      </c>
      <c r="D35" s="23">
        <f>SUMIFS(Pengeluaran!$G$9:$G$129,Pengeluaran!$F$9:$F$129,'Akhir Bulan'!E9)+
SUMIFS(Pengeluaran!$O$9:$O$88,Pengeluaran!$N$9:$N$88,'Akhir Bulan'!E9)</f>
        <v>0</v>
      </c>
      <c r="E35" s="23">
        <f>SUMIFS(Pengeluaran!$G$9:$G$129,Pengeluaran!$F$9:$F$129,'Akhir Bulan'!F9)+
SUMIFS(Pengeluaran!$O$9:$O$88,Pengeluaran!$N$9:$N$88,'Akhir Bulan'!F9)</f>
        <v>0</v>
      </c>
      <c r="F35" s="23">
        <f>SUMIFS(Pengeluaran!$G$9:$G$129,Pengeluaran!$F$9:$F$129,'Akhir Bulan'!G9)+
SUMIFS(Pengeluaran!$O$9:$O$88,Pengeluaran!$N$9:$N$88,'Akhir Bulan'!G9)</f>
        <v>0</v>
      </c>
      <c r="G35" s="23">
        <f>SUMIFS(Pengeluaran!$G$9:$G$129,Pengeluaran!$F$9:$F$129,'Akhir Bulan'!H9)+
SUMIFS(Pengeluaran!$O$9:$O$88,Pengeluaran!$N$9:$N$88,'Akhir Bulan'!H9)</f>
        <v>0</v>
      </c>
      <c r="H35" s="23">
        <f>'Detail Transaksi'!D15+'Detail Transaksi'!R15</f>
        <v>0</v>
      </c>
      <c r="I35" s="24">
        <f>J41+H35</f>
        <v>0</v>
      </c>
      <c r="J35" s="24">
        <f>I35-H35</f>
        <v>0</v>
      </c>
      <c r="K35" s="25">
        <f>IFERROR(J35/H35, 0)</f>
        <v>0</v>
      </c>
    </row>
    <row r="36" spans="1:11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3">
      <c r="A37" s="2">
        <v>8</v>
      </c>
      <c r="B37" s="2">
        <v>9</v>
      </c>
      <c r="C37" s="2">
        <v>10</v>
      </c>
      <c r="D37" s="2">
        <v>11</v>
      </c>
      <c r="E37" s="2">
        <v>12</v>
      </c>
      <c r="F37" s="2">
        <v>13</v>
      </c>
      <c r="G37" s="2">
        <v>14</v>
      </c>
      <c r="H37" s="2" t="s">
        <v>257</v>
      </c>
      <c r="I37" s="10"/>
      <c r="J37" s="10"/>
      <c r="K37" s="10"/>
    </row>
    <row r="38" spans="1:11" x14ac:dyDescent="0.3">
      <c r="A38" s="23">
        <f>SUMIFS(Pengeluaran!$G$9:$G$129, Pengeluaran!$F$9:$F$129, 'Akhir Bulan'!B13)+
SUMIFS(Pengeluaran!$O$9:$O$88,Pengeluaran!$N$9:$N$88,'Akhir Bulan'!B13)</f>
        <v>0</v>
      </c>
      <c r="B38" s="23">
        <f>SUMIFS(Pengeluaran!$G$9:$G$129, Pengeluaran!$F$9:$F$129, 'Akhir Bulan'!C13)+
SUMIFS(Pengeluaran!$O$9:$O$88,Pengeluaran!$N$9:$N$88,'Akhir Bulan'!C13)</f>
        <v>0</v>
      </c>
      <c r="C38" s="23">
        <f>SUMIFS(Pengeluaran!$G$9:$G$129, Pengeluaran!$F$9:$F$129, 'Akhir Bulan'!D13)+
SUMIFS(Pengeluaran!$O$9:$O$88,Pengeluaran!$N$9:$N$88,'Akhir Bulan'!D13)</f>
        <v>0</v>
      </c>
      <c r="D38" s="23">
        <f>SUMIFS(Pengeluaran!$G$9:$G$129, Pengeluaran!$F$9:$F$129, 'Akhir Bulan'!E13)+
SUMIFS(Pengeluaran!$O$9:$O$88,Pengeluaran!$N$9:$N$88,'Akhir Bulan'!E13)</f>
        <v>0</v>
      </c>
      <c r="E38" s="23">
        <f>SUMIFS(Pengeluaran!$G$9:$G$129, Pengeluaran!$F$9:$F$129, 'Akhir Bulan'!F13)+
SUMIFS(Pengeluaran!$O$9:$O$88,Pengeluaran!$N$9:$N$88,'Akhir Bulan'!F13)</f>
        <v>0</v>
      </c>
      <c r="F38" s="23">
        <f>SUMIFS(Pengeluaran!$G$9:$G$129, Pengeluaran!$F$9:$F$129, 'Akhir Bulan'!G13)+
SUMIFS(Pengeluaran!$O$9:$O$88,Pengeluaran!$N$9:$N$88,'Akhir Bulan'!G13)</f>
        <v>0</v>
      </c>
      <c r="G38" s="23">
        <f>SUMIFS(Pengeluaran!$G$9:$G$129, Pengeluaran!$F$9:$F$129, 'Akhir Bulan'!H13)+
SUMIFS(Pengeluaran!$O$9:$O$88,Pengeluaran!$N$9:$N$88,'Akhir Bulan'!H13)</f>
        <v>0</v>
      </c>
      <c r="H38" s="2" t="str">
        <f>IF(K35&gt;0, "Bertambah 👍", IF(K35&lt;0, "Berkurang 👎", "Tetap 😐"))</f>
        <v>Tetap 😐</v>
      </c>
      <c r="I38" s="10"/>
      <c r="J38" s="10"/>
      <c r="K38" s="10"/>
    </row>
    <row r="39" spans="1:11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x14ac:dyDescent="0.3">
      <c r="A40" s="2">
        <v>15</v>
      </c>
      <c r="B40" s="2">
        <v>16</v>
      </c>
      <c r="C40" s="2">
        <v>17</v>
      </c>
      <c r="D40" s="2">
        <v>18</v>
      </c>
      <c r="E40" s="2">
        <v>19</v>
      </c>
      <c r="F40" s="2">
        <v>20</v>
      </c>
      <c r="G40" s="2">
        <v>21</v>
      </c>
      <c r="H40" s="2" t="s">
        <v>258</v>
      </c>
      <c r="I40" s="2" t="s">
        <v>246</v>
      </c>
      <c r="J40" s="2" t="s">
        <v>259</v>
      </c>
      <c r="K40" s="2" t="s">
        <v>260</v>
      </c>
    </row>
    <row r="41" spans="1:11" x14ac:dyDescent="0.3">
      <c r="A41" s="23">
        <f>SUMIFS(Pengeluaran!$G$9:$G$129, Pengeluaran!$F$9:$F$129, 'Akhir Bulan'!B17)+
SUMIFS(Pengeluaran!$O$9:$O$88,Pengeluaran!$N$9:$N$88,'Akhir Bulan'!B17)</f>
        <v>0</v>
      </c>
      <c r="B41" s="23">
        <f>SUMIFS(Pengeluaran!$G$9:$G$129, Pengeluaran!$F$9:$F$129, 'Akhir Bulan'!C17)+
SUMIFS(Pengeluaran!$O$9:$O$88,Pengeluaran!$N$9:$N$88,'Akhir Bulan'!C17)</f>
        <v>0</v>
      </c>
      <c r="C41" s="23">
        <f>SUMIFS(Pengeluaran!$G$9:$G$129, Pengeluaran!$F$9:$F$129, 'Akhir Bulan'!D17)+
SUMIFS(Pengeluaran!$O$9:$O$88,Pengeluaran!$N$9:$N$88,'Akhir Bulan'!D17)</f>
        <v>0</v>
      </c>
      <c r="D41" s="23">
        <f>SUMIFS(Pengeluaran!$G$9:$G$129, Pengeluaran!$F$9:$F$129, 'Akhir Bulan'!E17)+
SUMIFS(Pengeluaran!$O$9:$O$88,Pengeluaran!$N$9:$N$88,'Akhir Bulan'!E17)</f>
        <v>0</v>
      </c>
      <c r="E41" s="23">
        <f>SUMIFS(Pengeluaran!$G$9:$G$129, Pengeluaran!$F$9:$F$129, 'Akhir Bulan'!F17)+
SUMIFS(Pengeluaran!$O$9:$O$88,Pengeluaran!$N$9:$N$88,'Akhir Bulan'!F17)</f>
        <v>0</v>
      </c>
      <c r="F41" s="23">
        <f>SUMIFS(Pengeluaran!$G$9:$G$129, Pengeluaran!$F$9:$F$129, 'Akhir Bulan'!G17)+
SUMIFS(Pengeluaran!$O$9:$O$88,Pengeluaran!$N$9:$N$88,'Akhir Bulan'!G17)</f>
        <v>0</v>
      </c>
      <c r="G41" s="23">
        <f>SUMIFS(Pengeluaran!$G$9:$G$129, Pengeluaran!$F$9:$F$129, 'Akhir Bulan'!H17)+
SUMIFS(Pengeluaran!$O$9:$O$88,Pengeluaran!$N$9:$N$88,'Akhir Bulan'!H17)</f>
        <v>0</v>
      </c>
      <c r="H41" s="23">
        <f>SUMIFS(Pendapatan!G6:G15, Pendapatan!C6:C15, "Uang_Bulanan")</f>
        <v>0</v>
      </c>
      <c r="I41" s="24">
        <f>Pengeluaran!H9+Pengeluaran!P9</f>
        <v>0</v>
      </c>
      <c r="J41" s="24">
        <f>H41-I41</f>
        <v>0</v>
      </c>
      <c r="K41" s="25">
        <f>IFERROR(J41/H41, 0)</f>
        <v>0</v>
      </c>
    </row>
    <row r="42" spans="1:11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</row>
    <row r="43" spans="1:11" x14ac:dyDescent="0.3">
      <c r="A43" s="2">
        <v>22</v>
      </c>
      <c r="B43" s="2">
        <v>23</v>
      </c>
      <c r="C43" s="2">
        <v>24</v>
      </c>
      <c r="D43" s="2">
        <v>25</v>
      </c>
      <c r="E43" s="2">
        <v>26</v>
      </c>
      <c r="F43" s="2">
        <v>27</v>
      </c>
      <c r="G43" s="2">
        <v>28</v>
      </c>
      <c r="H43" s="2" t="s">
        <v>261</v>
      </c>
      <c r="I43" s="10"/>
      <c r="J43" s="10"/>
      <c r="K43" s="10"/>
    </row>
    <row r="44" spans="1:11" x14ac:dyDescent="0.3">
      <c r="A44" s="23">
        <f>SUMIFS(Pengeluaran!$G$9:$G$129, Pengeluaran!$F$9:$F$129, 'Akhir Bulan'!B21)+
SUMIFS(Pengeluaran!$O$9:$O$88,Pengeluaran!$N$9:$N$88,'Akhir Bulan'!B21)</f>
        <v>0</v>
      </c>
      <c r="B44" s="23">
        <f>SUMIFS(Pengeluaran!$G$9:$G$129, Pengeluaran!$F$9:$F$129, 'Akhir Bulan'!C21)+
SUMIFS(Pengeluaran!$O$9:$O$88,Pengeluaran!$N$9:$N$88,'Akhir Bulan'!C21)</f>
        <v>0</v>
      </c>
      <c r="C44" s="23">
        <f>SUMIFS(Pengeluaran!$G$9:$G$129, Pengeluaran!$F$9:$F$129, 'Akhir Bulan'!D21)+
SUMIFS(Pengeluaran!$O$9:$O$88,Pengeluaran!$N$9:$N$88,'Akhir Bulan'!D21)</f>
        <v>0</v>
      </c>
      <c r="D44" s="23">
        <f>SUMIFS(Pengeluaran!$G$9:$G$129, Pengeluaran!$F$9:$F$129, 'Akhir Bulan'!E21)+
SUMIFS(Pengeluaran!$O$9:$O$88,Pengeluaran!$N$9:$N$88,'Akhir Bulan'!E21)</f>
        <v>0</v>
      </c>
      <c r="E44" s="23">
        <f>SUMIFS(Pengeluaran!$G$9:$G$129, Pengeluaran!$F$9:$F$129, 'Akhir Bulan'!F21)+
SUMIFS(Pengeluaran!$O$9:$O$88,Pengeluaran!$N$9:$N$88,'Akhir Bulan'!F21)</f>
        <v>0</v>
      </c>
      <c r="F44" s="23">
        <f>SUMIFS(Pengeluaran!$G$9:$G$129, Pengeluaran!$F$9:$F$129, 'Akhir Bulan'!G21)+
SUMIFS(Pengeluaran!$O$9:$O$88,Pengeluaran!$N$9:$N$88,'Akhir Bulan'!G21)</f>
        <v>0</v>
      </c>
      <c r="G44" s="23">
        <f>SUMIFS(Pengeluaran!$G$9:$G$129, Pengeluaran!$F$9:$F$129, 'Akhir Bulan'!H21)+
SUMIFS(Pengeluaran!$O$9:$O$88,Pengeluaran!$N$9:$N$88,'Akhir Bulan'!H21)</f>
        <v>0</v>
      </c>
      <c r="H44" s="2" t="str">
        <f>IF(K41&gt;=0, "Positif ✅", "Negatif❗️")</f>
        <v>Positif ✅</v>
      </c>
      <c r="I44" s="10"/>
      <c r="J44" s="10"/>
      <c r="K44" s="10"/>
    </row>
    <row r="45" spans="1:11" x14ac:dyDescent="0.3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</row>
    <row r="46" spans="1:11" x14ac:dyDescent="0.3">
      <c r="A46" s="2">
        <v>29</v>
      </c>
      <c r="B46" s="2">
        <v>30</v>
      </c>
      <c r="C46" s="2">
        <v>31</v>
      </c>
      <c r="D46" s="10"/>
      <c r="E46" s="10"/>
      <c r="F46" s="10"/>
      <c r="G46" s="10"/>
      <c r="H46" s="10"/>
      <c r="I46" s="10"/>
      <c r="J46" s="10"/>
      <c r="K46" s="10"/>
    </row>
    <row r="47" spans="1:11" x14ac:dyDescent="0.3">
      <c r="A47" s="23">
        <f>SUMIFS(Pengeluaran!$G$9:$G$129, Pengeluaran!$F$9:$F$129, 'Akhir Bulan'!B25)+
SUMIFS(Pengeluaran!$O$9:$O$88,Pengeluaran!$N$9:$N$88,'Akhir Bulan'!B25)</f>
        <v>0</v>
      </c>
      <c r="B47" s="23">
        <f>SUMIFS(Pengeluaran!$G$9:$G$129, Pengeluaran!$F$9:$F$129, 'Akhir Bulan'!C25)+
SUMIFS(Pengeluaran!$O$9:$O$88,Pengeluaran!$N$9:$N$88,'Akhir Bulan'!C25)</f>
        <v>0</v>
      </c>
      <c r="C47" s="23">
        <f>SUMIFS(Pengeluaran!$G$9:$G$129, Pengeluaran!$F$9:$F$129, 'Akhir Bulan'!D25)+
SUMIFS(Pengeluaran!$O$9:$O$88,Pengeluaran!$N$9:$N$88,'Akhir Bulan'!D25)</f>
        <v>0</v>
      </c>
      <c r="D47" s="10"/>
      <c r="E47" s="10"/>
      <c r="F47" s="10"/>
      <c r="G47" s="10"/>
      <c r="H47" s="10"/>
      <c r="I47" s="10"/>
      <c r="J47" s="10"/>
      <c r="K47" s="10"/>
    </row>
    <row r="48" spans="1:11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2" x14ac:dyDescent="0.3">
      <c r="A49" s="229" t="s">
        <v>277</v>
      </c>
      <c r="B49" s="231"/>
      <c r="C49" s="229" t="s">
        <v>278</v>
      </c>
      <c r="D49" s="231"/>
      <c r="E49" s="229" t="s">
        <v>279</v>
      </c>
      <c r="F49" s="231"/>
      <c r="G49" s="229" t="s">
        <v>280</v>
      </c>
      <c r="H49" s="231"/>
      <c r="I49" s="229" t="s">
        <v>299</v>
      </c>
      <c r="J49" s="231"/>
      <c r="K49" s="229" t="s">
        <v>300</v>
      </c>
      <c r="L49" s="231"/>
    </row>
    <row r="50" spans="1:12" x14ac:dyDescent="0.3">
      <c r="A50" s="2" t="s">
        <v>262</v>
      </c>
      <c r="B50" s="23">
        <f>SUMIFS(Pengeluaran!$G$9:$G$129, Pengeluaran!$C$9:$C$129, 'Akhir Bulan'!$B$32, Pengeluaran!$D$9:$D$129, 'Akhir Bulan'!B34)</f>
        <v>0</v>
      </c>
      <c r="C50" s="2" t="s">
        <v>262</v>
      </c>
      <c r="D50" s="23">
        <f>SUMIFS(Pengeluaran!$G$9:$G$129, Pengeluaran!$C$9:$C$129, 'Akhir Bulan'!$E$32, Pengeluaran!$D$9:$D$129, 'Akhir Bulan'!E34)</f>
        <v>0</v>
      </c>
      <c r="E50" s="2" t="s">
        <v>262</v>
      </c>
      <c r="F50" s="23">
        <f>SUMIFS(Pengeluaran!$G$9:$G$129, Pengeluaran!$C$9:$C$129, 'Akhir Bulan'!$H$32, Pengeluaran!$D$9:$D$129, 'Akhir Bulan'!H34)</f>
        <v>0</v>
      </c>
      <c r="G50" s="22" t="s">
        <v>271</v>
      </c>
      <c r="H50" s="23">
        <f>SUMIFS(Pengeluaran!$G$9:$G$129, Pengeluaran!$C$9:$C$129, 'Akhir Bulan'!$K$32, Pengeluaran!$D$9:$D$129, 'Akhir Bulan'!K34)</f>
        <v>0</v>
      </c>
      <c r="I50" s="22" t="s">
        <v>263</v>
      </c>
      <c r="J50" s="23">
        <f>SUMIFS(Pengeluaran!$G$9:$G$129, Pengeluaran!$C$9:$C$129, 'Akhir Bulan'!$N$32, Pengeluaran!$D$9:$D$129, 'Akhir Bulan'!N34)</f>
        <v>0</v>
      </c>
      <c r="K50" s="22" t="s">
        <v>262</v>
      </c>
      <c r="L50" s="23">
        <f>SUMIFS(Pengeluaran!$G$9:$G$129, Pengeluaran!$C$9:$C$129, 'Akhir Bulan'!$Q$32, Pengeluaran!$D$9:$D$129, 'Akhir Bulan'!Q34)</f>
        <v>0</v>
      </c>
    </row>
    <row r="51" spans="1:12" x14ac:dyDescent="0.3">
      <c r="A51" s="2" t="s">
        <v>263</v>
      </c>
      <c r="B51" s="23">
        <f>SUMIFS(Pengeluaran!$G$9:$G$129, Pengeluaran!$C$9:$C$129, 'Akhir Bulan'!$B$32, Pengeluaran!$D$9:$D$129, 'Akhir Bulan'!B36)</f>
        <v>0</v>
      </c>
      <c r="C51" s="2" t="s">
        <v>263</v>
      </c>
      <c r="D51" s="23">
        <f>SUMIFS(Pengeluaran!$G$9:$G$129, Pengeluaran!$C$9:$C$129, 'Akhir Bulan'!$E$32, Pengeluaran!$D$9:$D$129, 'Akhir Bulan'!E36)</f>
        <v>0</v>
      </c>
      <c r="E51" s="2" t="s">
        <v>263</v>
      </c>
      <c r="F51" s="23">
        <f>SUMIFS(Pengeluaran!$G$9:$G$129, Pengeluaran!$C$9:$C$129, 'Akhir Bulan'!$H$32, Pengeluaran!$D$9:$D$129, 'Akhir Bulan'!H36)</f>
        <v>0</v>
      </c>
      <c r="G51" s="22" t="s">
        <v>272</v>
      </c>
      <c r="H51" s="23">
        <f>SUMIFS(Pengeluaran!$G$9:$G$129, Pengeluaran!$C$9:$C$129, 'Akhir Bulan'!$K$32, Pengeluaran!$D$9:$D$129, 'Akhir Bulan'!K36)</f>
        <v>0</v>
      </c>
      <c r="I51" s="22" t="s">
        <v>301</v>
      </c>
      <c r="J51" s="23">
        <f>SUMIFS(Pengeluaran!$G$9:$G$129, Pengeluaran!$C$9:$C$129, 'Akhir Bulan'!$N$32, Pengeluaran!$D$9:$D$129, 'Akhir Bulan'!N36)</f>
        <v>0</v>
      </c>
      <c r="K51" s="22" t="s">
        <v>263</v>
      </c>
      <c r="L51" s="23">
        <f>SUMIFS(Pengeluaran!$G$9:$G$129, Pengeluaran!$C$9:$C$129, 'Akhir Bulan'!$Q$32, Pengeluaran!$D$9:$D$129, 'Akhir Bulan'!Q36)</f>
        <v>0</v>
      </c>
    </row>
    <row r="52" spans="1:12" x14ac:dyDescent="0.3">
      <c r="A52" s="2" t="s">
        <v>264</v>
      </c>
      <c r="B52" s="23">
        <f>SUMIFS(Pengeluaran!$G$9:$G$129, Pengeluaran!$C$9:$C$129, 'Akhir Bulan'!$B$32, Pengeluaran!$D$9:$D$129, 'Akhir Bulan'!B38)</f>
        <v>0</v>
      </c>
      <c r="C52" s="2" t="s">
        <v>267</v>
      </c>
      <c r="D52" s="23">
        <f>SUMIFS(Pengeluaran!$G$9:$G$129, Pengeluaran!$C$9:$C$129, 'Akhir Bulan'!$E$32, Pengeluaran!$D$9:$D$129, 'Akhir Bulan'!E38)</f>
        <v>0</v>
      </c>
      <c r="E52" s="2" t="s">
        <v>306</v>
      </c>
      <c r="F52" s="23">
        <f>SUMIFS(Pengeluaran!$G$9:$G$129, Pengeluaran!$C$9:$C$129, 'Akhir Bulan'!$H$32, Pengeluaran!$D$9:$D$129, 'Akhir Bulan'!H38)</f>
        <v>0</v>
      </c>
      <c r="G52" s="22" t="s">
        <v>273</v>
      </c>
      <c r="H52" s="23">
        <f>SUMIFS(Pengeluaran!$G$9:$G$129, Pengeluaran!$C$9:$C$129, 'Akhir Bulan'!$K$32, Pengeluaran!$D$9:$D$129, 'Akhir Bulan'!K38)</f>
        <v>0</v>
      </c>
      <c r="I52" s="10"/>
      <c r="J52" s="10"/>
      <c r="K52" s="22" t="s">
        <v>302</v>
      </c>
      <c r="L52" s="23">
        <f>SUMIFS(Pengeluaran!$G$9:$G$129, Pengeluaran!$C$9:$C$129, 'Akhir Bulan'!$Q$32, Pengeluaran!$D$9:$D$129, 'Akhir Bulan'!Q38)</f>
        <v>0</v>
      </c>
    </row>
    <row r="53" spans="1:12" x14ac:dyDescent="0.3">
      <c r="A53" s="2" t="s">
        <v>265</v>
      </c>
      <c r="B53" s="23">
        <f>SUMIFS(Pengeluaran!$G$9:$G$129, Pengeluaran!$C$9:$C$129, 'Akhir Bulan'!$B$32, Pengeluaran!$D$9:$D$129, 'Akhir Bulan'!B40)</f>
        <v>0</v>
      </c>
      <c r="C53" s="2" t="s">
        <v>268</v>
      </c>
      <c r="D53" s="23">
        <f>SUMIFS(Pengeluaran!$G$9:$G$129, Pengeluaran!$C$9:$C$129, 'Akhir Bulan'!$E$32, Pengeluaran!$D$9:$D$129, 'Akhir Bulan'!E40)</f>
        <v>0</v>
      </c>
      <c r="E53" s="2" t="s">
        <v>307</v>
      </c>
      <c r="F53" s="23">
        <f>SUMIFS(Pengeluaran!$G$9:$G$129, Pengeluaran!$C$9:$C$129, 'Akhir Bulan'!$H$32, Pengeluaran!$D$9:$D$129, 'Akhir Bulan'!H40)</f>
        <v>0</v>
      </c>
      <c r="G53" s="22" t="s">
        <v>274</v>
      </c>
      <c r="H53" s="23">
        <f>SUMIFS(Pengeluaran!$G$9:$G$129, Pengeluaran!$C$9:$C$129, 'Akhir Bulan'!$K$32, Pengeluaran!$D$9:$D$129, 'Akhir Bulan'!K40)</f>
        <v>0</v>
      </c>
      <c r="I53" s="10"/>
      <c r="J53" s="10"/>
      <c r="K53" s="10"/>
    </row>
    <row r="54" spans="1:12" x14ac:dyDescent="0.3">
      <c r="A54" s="2" t="s">
        <v>266</v>
      </c>
      <c r="B54" s="23">
        <f>SUMIFS(Pengeluaran!$G$9:$G$129, Pengeluaran!$C$9:$C$129, 'Akhir Bulan'!$B$32, Pengeluaran!$D$9:$D$129, 'Akhir Bulan'!B42)</f>
        <v>0</v>
      </c>
      <c r="C54" s="2" t="s">
        <v>266</v>
      </c>
      <c r="D54" s="23">
        <f>SUMIFS(Pengeluaran!$G$9:$G$129, Pengeluaran!$C$9:$C$129, 'Akhir Bulan'!$E$32, Pengeluaran!$D$9:$D$129, 'Akhir Bulan'!E42)</f>
        <v>0</v>
      </c>
      <c r="E54" s="2" t="s">
        <v>266</v>
      </c>
      <c r="F54" s="23">
        <f>SUMIFS(Pengeluaran!$G$9:$G$129, Pengeluaran!$C$9:$C$129, 'Akhir Bulan'!$H$32, Pengeluaran!$D$9:$D$129, 'Akhir Bulan'!H42)</f>
        <v>0</v>
      </c>
      <c r="G54" s="22" t="s">
        <v>275</v>
      </c>
      <c r="H54" s="23">
        <f>SUMIFS(Pengeluaran!$G$9:$G$129, Pengeluaran!$C$9:$C$129, 'Akhir Bulan'!$K$32, Pengeluaran!$D$9:$D$129, 'Akhir Bulan'!K42)</f>
        <v>0</v>
      </c>
      <c r="I54" s="10"/>
      <c r="J54" s="10"/>
      <c r="K54" s="10"/>
    </row>
    <row r="55" spans="1:12" x14ac:dyDescent="0.3">
      <c r="A55" s="10"/>
      <c r="B55" s="10"/>
      <c r="C55" s="2" t="s">
        <v>269</v>
      </c>
      <c r="D55" s="23">
        <f>SUMIFS(Pengeluaran!$G$9:$G$129, Pengeluaran!$C$9:$C$129, 'Akhir Bulan'!$E$32, Pengeluaran!$D$9:$D$129, 'Akhir Bulan'!E44)</f>
        <v>0</v>
      </c>
      <c r="E55" s="2" t="s">
        <v>269</v>
      </c>
      <c r="F55" s="23">
        <f>SUMIFS(Pengeluaran!$G$9:$G$129, Pengeluaran!$C$9:$C$129, 'Akhir Bulan'!$H$32, Pengeluaran!$D$9:$D$129, 'Akhir Bulan'!H44)</f>
        <v>0</v>
      </c>
      <c r="G55" s="2" t="s">
        <v>276</v>
      </c>
      <c r="H55" s="23">
        <f>SUMIFS(Pengeluaran!$G$9:$G$129, Pengeluaran!$C$9:$C$129, 'Akhir Bulan'!$K$32, Pengeluaran!$D$9:$D$129, 'Akhir Bulan'!K44)</f>
        <v>0</v>
      </c>
      <c r="I55" s="10"/>
      <c r="J55" s="10"/>
      <c r="K55" s="10"/>
    </row>
    <row r="56" spans="1:12" x14ac:dyDescent="0.3">
      <c r="A56" s="10"/>
      <c r="B56" s="10"/>
      <c r="C56" s="2" t="s">
        <v>270</v>
      </c>
      <c r="D56" s="23">
        <f>SUMIFS(Pengeluaran!$G$9:$G$129, Pengeluaran!$C$9:$C$129, 'Akhir Bulan'!$E$32, Pengeluaran!$D$9:$D$129, 'Akhir Bulan'!E46)</f>
        <v>0</v>
      </c>
      <c r="E56" s="2" t="s">
        <v>270</v>
      </c>
      <c r="F56" s="23">
        <f>SUMIFS(Pengeluaran!$G$9:$G$129, Pengeluaran!$C$9:$C$129, 'Akhir Bulan'!$H$32, Pengeluaran!$D$9:$D$129, 'Akhir Bulan'!H46)</f>
        <v>0</v>
      </c>
      <c r="G56" s="10"/>
      <c r="H56" s="10"/>
      <c r="I56" s="10"/>
      <c r="J56" s="10"/>
      <c r="K56" s="10"/>
    </row>
    <row r="57" spans="1:12" x14ac:dyDescent="0.3">
      <c r="A57" s="10"/>
      <c r="B57" s="10"/>
      <c r="C57" s="2" t="s">
        <v>264</v>
      </c>
      <c r="D57" s="23">
        <f>SUMIFS(Pengeluaran!$G$9:$G$129, Pengeluaran!$C$9:$C$129, 'Akhir Bulan'!$E$32, Pengeluaran!$D$9:$D$129, 'Akhir Bulan'!E48)</f>
        <v>0</v>
      </c>
      <c r="E57" s="2" t="s">
        <v>268</v>
      </c>
      <c r="F57" s="23">
        <f>SUMIFS(Pengeluaran!$G$9:$G$129, Pengeluaran!$C$9:$C$129, 'Akhir Bulan'!$H$32, Pengeluaran!$D$9:$D$129, 'Akhir Bulan'!H48)</f>
        <v>0</v>
      </c>
      <c r="G57" s="10"/>
      <c r="H57" s="10"/>
      <c r="I57" s="10"/>
      <c r="J57" s="10"/>
      <c r="K57" s="10"/>
    </row>
    <row r="58" spans="1:12" x14ac:dyDescent="0.3">
      <c r="I58" s="10"/>
      <c r="J58" s="10"/>
      <c r="K58" s="10"/>
    </row>
    <row r="59" spans="1:12" x14ac:dyDescent="0.3">
      <c r="A59" s="229" t="s">
        <v>298</v>
      </c>
      <c r="B59" s="230"/>
      <c r="C59" s="230"/>
      <c r="D59" s="230"/>
      <c r="E59" s="230"/>
      <c r="F59" s="230"/>
      <c r="G59" s="230"/>
      <c r="H59" s="231"/>
      <c r="I59" s="10"/>
      <c r="J59" s="10"/>
      <c r="K59" s="10"/>
    </row>
    <row r="60" spans="1:12" x14ac:dyDescent="0.3">
      <c r="A60" s="2" t="s">
        <v>281</v>
      </c>
      <c r="B60" s="23">
        <f>SUMIFS(Pengeluaran!$O$9:$O$88, Pengeluaran!$L$9:$L$88, 'Akhir Bulan'!B53)</f>
        <v>0</v>
      </c>
      <c r="C60" s="2" t="s">
        <v>286</v>
      </c>
      <c r="D60" s="23">
        <f>SUMIFS(Pengeluaran!$O$9:$O$88, Pengeluaran!$L$9:$L$88, 'Akhir Bulan'!E53)</f>
        <v>0</v>
      </c>
      <c r="E60" s="2" t="s">
        <v>290</v>
      </c>
      <c r="F60" s="23">
        <f>SUMIFS(Pengeluaran!$O$9:$O$88, Pengeluaran!$L$9:$L$88, 'Akhir Bulan'!H53)</f>
        <v>0</v>
      </c>
      <c r="G60" s="2" t="s">
        <v>294</v>
      </c>
      <c r="H60" s="23">
        <f>SUMIFS(Pengeluaran!$O$9:$O$88, Pengeluaran!$L$9:$L$88, 'Akhir Bulan'!K53)</f>
        <v>0</v>
      </c>
      <c r="I60" s="10"/>
      <c r="J60" s="10"/>
      <c r="K60" s="10"/>
    </row>
    <row r="61" spans="1:12" x14ac:dyDescent="0.3">
      <c r="A61" s="2" t="s">
        <v>282</v>
      </c>
      <c r="B61" s="23">
        <f>SUMIFS(Pengeluaran!$O$9:$O$88, Pengeluaran!$L$9:$L$88, 'Akhir Bulan'!B55)</f>
        <v>0</v>
      </c>
      <c r="C61" s="2" t="s">
        <v>287</v>
      </c>
      <c r="D61" s="23">
        <f>SUMIFS(Pengeluaran!$O$9:$O$88, Pengeluaran!$L$9:$L$88, 'Akhir Bulan'!E55)</f>
        <v>0</v>
      </c>
      <c r="E61" s="2" t="s">
        <v>291</v>
      </c>
      <c r="F61" s="23">
        <f>SUMIFS(Pengeluaran!$O$9:$O$88, Pengeluaran!$L$9:$L$88, 'Akhir Bulan'!H55)</f>
        <v>0</v>
      </c>
      <c r="G61" s="2" t="s">
        <v>295</v>
      </c>
      <c r="H61" s="23">
        <f>SUMIFS(Pengeluaran!$O$9:$O$88, Pengeluaran!$L$9:$L$88, 'Akhir Bulan'!K55)</f>
        <v>0</v>
      </c>
      <c r="I61" s="10"/>
      <c r="J61" s="10"/>
      <c r="K61" s="10"/>
    </row>
    <row r="62" spans="1:12" x14ac:dyDescent="0.3">
      <c r="A62" s="2" t="s">
        <v>283</v>
      </c>
      <c r="B62" s="23">
        <f>SUMIFS(Pengeluaran!$O$9:$O$88, Pengeluaran!$L$9:$L$88, 'Akhir Bulan'!B57)</f>
        <v>0</v>
      </c>
      <c r="C62" s="2" t="s">
        <v>288</v>
      </c>
      <c r="D62" s="23">
        <f>SUMIFS(Pengeluaran!$O$9:$O$88, Pengeluaran!$L$9:$L$88, 'Akhir Bulan'!E57)</f>
        <v>0</v>
      </c>
      <c r="E62" s="2" t="s">
        <v>292</v>
      </c>
      <c r="F62" s="23">
        <f>SUMIFS(Pengeluaran!$O$9:$O$88, Pengeluaran!$L$9:$L$88, 'Akhir Bulan'!H57)</f>
        <v>0</v>
      </c>
      <c r="G62" s="2" t="s">
        <v>296</v>
      </c>
      <c r="H62" s="23">
        <f>SUMIFS(Pengeluaran!$O$9:$O$88, Pengeluaran!$L$9:$L$88, 'Akhir Bulan'!K57)</f>
        <v>0</v>
      </c>
      <c r="I62" s="10"/>
      <c r="J62" s="10"/>
      <c r="K62" s="10"/>
    </row>
    <row r="63" spans="1:12" x14ac:dyDescent="0.3">
      <c r="A63" s="2" t="s">
        <v>284</v>
      </c>
      <c r="B63" s="23">
        <f>SUMIFS(Pengeluaran!$O$9:$O$88, Pengeluaran!$L$9:$L$88, 'Akhir Bulan'!B59)</f>
        <v>0</v>
      </c>
      <c r="C63" s="2" t="s">
        <v>289</v>
      </c>
      <c r="D63" s="23">
        <f>SUMIFS(Pengeluaran!$O$9:$O$88, Pengeluaran!$L$9:$L$88, 'Akhir Bulan'!E59)</f>
        <v>0</v>
      </c>
      <c r="E63" s="2" t="s">
        <v>293</v>
      </c>
      <c r="F63" s="23">
        <f>SUMIFS(Pengeluaran!$O$9:$O$88, Pengeluaran!$L$9:$L$88, 'Akhir Bulan'!H59)</f>
        <v>0</v>
      </c>
      <c r="G63" s="2" t="s">
        <v>297</v>
      </c>
      <c r="H63" s="23">
        <f>SUMIFS(Pengeluaran!$O$9:$O$88, Pengeluaran!$L$9:$L$88, 'Akhir Bulan'!K59)</f>
        <v>0</v>
      </c>
      <c r="I63" s="10"/>
      <c r="J63" s="10"/>
      <c r="K63" s="10"/>
    </row>
    <row r="64" spans="1:12" x14ac:dyDescent="0.3">
      <c r="A64" s="2" t="s">
        <v>285</v>
      </c>
      <c r="B64" s="23">
        <f>SUMIFS(Pengeluaran!$O$9:$O$88, Pengeluaran!$L$9:$L$88, 'Akhir Bulan'!B61)</f>
        <v>0</v>
      </c>
      <c r="C64" s="2" t="s">
        <v>305</v>
      </c>
      <c r="D64" s="23">
        <f>SUMIFS(Pengeluaran!$O$9:$O$88, Pengeluaran!$K$9:$K$88, 'Akhir Bulan'!E61)</f>
        <v>0</v>
      </c>
      <c r="E64" s="10"/>
      <c r="F64" s="10"/>
      <c r="G64" s="10"/>
      <c r="H64" s="10"/>
    </row>
  </sheetData>
  <mergeCells count="12">
    <mergeCell ref="A59:H59"/>
    <mergeCell ref="K49:L49"/>
    <mergeCell ref="A1:J1"/>
    <mergeCell ref="A21:J21"/>
    <mergeCell ref="A28:J28"/>
    <mergeCell ref="A32:J32"/>
    <mergeCell ref="A33:G33"/>
    <mergeCell ref="G49:H49"/>
    <mergeCell ref="E49:F49"/>
    <mergeCell ref="C49:D49"/>
    <mergeCell ref="A49:B49"/>
    <mergeCell ref="I49:J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23</vt:i4>
      </vt:variant>
    </vt:vector>
  </HeadingPairs>
  <TitlesOfParts>
    <vt:vector size="30" baseType="lpstr">
      <vt:lpstr>Dashboard</vt:lpstr>
      <vt:lpstr>Detail Transaksi</vt:lpstr>
      <vt:lpstr>Pengeluaran</vt:lpstr>
      <vt:lpstr>Pendapatan</vt:lpstr>
      <vt:lpstr>Akhir Bulan</vt:lpstr>
      <vt:lpstr>Pendukung</vt:lpstr>
      <vt:lpstr>Kalkulasi</vt:lpstr>
      <vt:lpstr>Alfamart</vt:lpstr>
      <vt:lpstr>Bank</vt:lpstr>
      <vt:lpstr>Beli</vt:lpstr>
      <vt:lpstr>Bluebird</vt:lpstr>
      <vt:lpstr>Buka_Puasa</vt:lpstr>
      <vt:lpstr>Event_Lomba</vt:lpstr>
      <vt:lpstr>Gojek</vt:lpstr>
      <vt:lpstr>Indomaret</vt:lpstr>
      <vt:lpstr>Jajan</vt:lpstr>
      <vt:lpstr>Makan_Malam</vt:lpstr>
      <vt:lpstr>Makan_Siang</vt:lpstr>
      <vt:lpstr>N_A</vt:lpstr>
      <vt:lpstr>Pembayaran</vt:lpstr>
      <vt:lpstr>Pemeliharaan</vt:lpstr>
      <vt:lpstr>Sahur</vt:lpstr>
      <vt:lpstr>Sarapan</vt:lpstr>
      <vt:lpstr>Sisa</vt:lpstr>
      <vt:lpstr>Superindo</vt:lpstr>
      <vt:lpstr>Telkomsel</vt:lpstr>
      <vt:lpstr>Tokopedia</vt:lpstr>
      <vt:lpstr>Transisi</vt:lpstr>
      <vt:lpstr>Transisi_NA</vt:lpstr>
      <vt:lpstr>Uang_Bulanan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Evan Areefa</cp:lastModifiedBy>
  <dcterms:created xsi:type="dcterms:W3CDTF">2015-06-05T18:17:20Z</dcterms:created>
  <dcterms:modified xsi:type="dcterms:W3CDTF">2025-11-30T21:47:28Z</dcterms:modified>
</cp:coreProperties>
</file>