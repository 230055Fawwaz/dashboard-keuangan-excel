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43873B74-44A2-4809-8908-C5706C416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Utama" sheetId="1" r:id="rId1"/>
    <sheet name="Sheet Pendukung" sheetId="3" r:id="rId2"/>
  </sheets>
  <definedNames>
    <definedName name="Bluebird">'Sheet Pendukung'!$M$2</definedName>
    <definedName name="Gojek">'Sheet Pendukung'!$L$2</definedName>
    <definedName name="Indomaret">'Sheet Pendukung'!$H$2:$H$4</definedName>
    <definedName name="Laundry">'Sheet Pendukung'!$J$2</definedName>
    <definedName name="Makan_Malam">'Sheet Pendukung'!$C$2:$C$5</definedName>
    <definedName name="Makan_Siang">'Sheet Pendukung'!$B$2:$B$6</definedName>
    <definedName name="Makan_Siang_Malam">'Sheet Pendukung'!$D$2:$D$3</definedName>
    <definedName name="N_A">'Sheet Pendukung'!$E$2</definedName>
    <definedName name="Sarapan">'Sheet Pendukung'!$A$2:$A$5</definedName>
    <definedName name="Superindo">'Sheet Pendukung'!$I$2:$I$4</definedName>
    <definedName name="Telkomsel">'Sheet Pendukung'!$K$2</definedName>
    <definedName name="Tidak_Ada">'Sheet Pendukung'!$E$2</definedName>
    <definedName name="Titik">'Sheet Pendukung'!$E$2</definedName>
    <definedName name="Tokopedia">'Sheet Pendukung'!$N$2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4" i="1" l="1"/>
  <c r="J83" i="1"/>
  <c r="J82" i="1"/>
  <c r="J81" i="1"/>
  <c r="J80" i="1"/>
  <c r="Z11" i="1"/>
  <c r="S91" i="1" s="1"/>
  <c r="P80" i="1"/>
  <c r="T11" i="1"/>
  <c r="S90" i="1" s="1"/>
  <c r="S83" i="1" l="1"/>
  <c r="M81" i="1" s="1"/>
  <c r="M11" i="1"/>
  <c r="B92" i="1" s="1"/>
  <c r="F11" i="1"/>
  <c r="C83" i="1" l="1"/>
  <c r="B93" i="1" s="1"/>
  <c r="S92" i="1"/>
  <c r="B91" i="1"/>
  <c r="M80" i="1" l="1"/>
</calcChain>
</file>

<file path=xl/sharedStrings.xml><?xml version="1.0" encoding="utf-8"?>
<sst xmlns="http://schemas.openxmlformats.org/spreadsheetml/2006/main" count="521" uniqueCount="58">
  <si>
    <t>No</t>
  </si>
  <si>
    <t>Detail</t>
  </si>
  <si>
    <t>Tanggal</t>
  </si>
  <si>
    <t>Harga</t>
  </si>
  <si>
    <t>Total</t>
  </si>
  <si>
    <t>Kebutuhan Lain</t>
  </si>
  <si>
    <t>Uang Tunai</t>
  </si>
  <si>
    <t>Detail Transaksi</t>
  </si>
  <si>
    <t>Budget Awal</t>
  </si>
  <si>
    <t>Uang Digital</t>
  </si>
  <si>
    <t>Budget Akhir</t>
  </si>
  <si>
    <t>Pengeluaran per Minggu</t>
  </si>
  <si>
    <t>Minggu 1</t>
  </si>
  <si>
    <t>Minggu 2</t>
  </si>
  <si>
    <t>Minggu 3</t>
  </si>
  <si>
    <t>Minggu 4</t>
  </si>
  <si>
    <t>Minggu 5</t>
  </si>
  <si>
    <t>Budget Maksimal per Hari</t>
  </si>
  <si>
    <t>Sisa Hari</t>
  </si>
  <si>
    <t>Makanan Pokok</t>
  </si>
  <si>
    <t>Uang tunai</t>
  </si>
  <si>
    <t>General</t>
  </si>
  <si>
    <t>Kategori</t>
  </si>
  <si>
    <t>Sarapan</t>
  </si>
  <si>
    <t>Makan Siang</t>
  </si>
  <si>
    <t>Makan Malam</t>
  </si>
  <si>
    <t>Makan Siang &amp; Malam</t>
  </si>
  <si>
    <t>Warteg</t>
  </si>
  <si>
    <t>Nasi Kuning</t>
  </si>
  <si>
    <t>Bikin Sendiri</t>
  </si>
  <si>
    <t>Balsan</t>
  </si>
  <si>
    <t>FKG</t>
  </si>
  <si>
    <t>Nasi Goreng</t>
  </si>
  <si>
    <t>Burger Bangor</t>
  </si>
  <si>
    <t>Gofood</t>
  </si>
  <si>
    <t>N/A</t>
  </si>
  <si>
    <t>N_A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</si>
  <si>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</si>
  <si>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</si>
  <si>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</si>
  <si>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</si>
  <si>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</si>
  <si>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</si>
  <si>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</si>
  <si>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</si>
  <si>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Kebutuhan Dapur</t>
  </si>
  <si>
    <t>Kebutuhan Mandi</t>
  </si>
  <si>
    <t>Buah</t>
  </si>
  <si>
    <t>Baju</t>
  </si>
  <si>
    <t>Topup</t>
  </si>
  <si>
    <t>Bayar</t>
  </si>
  <si>
    <t>Kebutuhan Kos</t>
  </si>
  <si>
    <t>Jajan</t>
  </si>
  <si>
    <t>Panel Kontrol</t>
  </si>
  <si>
    <t>Tanggal Awal</t>
  </si>
  <si>
    <t>Tanggal Akhir</t>
  </si>
  <si>
    <t>28/01/1015</t>
  </si>
  <si>
    <t>Template Keuangan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</si>
</sst>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14" fontId="0" fillId="0" borderId="1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2-42DE-BB7B-3AA6748DB81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2-42DE-BB7B-3AA6748DB81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2-42DE-BB7B-3AA6748DB8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'Sheet Utama'!$B$91:$B$93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B-45F6-A61E-21C2812787DA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A7-41F9-B73E-F63F3EF537D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A7-41F9-B73E-F63F3EF537D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6-4C8C-8790-B61FAA240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 Pokok</c:v>
              </c:pt>
              <c:pt idx="1">
                <c:v>Kebutuhan Lain</c:v>
              </c:pt>
              <c:pt idx="2">
                <c:v>Sisa Uang</c:v>
              </c:pt>
            </c:strLit>
          </c:cat>
          <c:val>
            <c:numRef>
              <c:f>'Sheet Utama'!$S$90:$S$92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0-4CF7-A470-D1FF6AD405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Utama'!$J$80:$J$84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6C8-B20F-F46300A8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589631"/>
        <c:axId val="551590111"/>
      </c:lineChart>
      <c:catAx>
        <c:axId val="5515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90111"/>
        <c:crosses val="autoZero"/>
        <c:auto val="1"/>
        <c:lblAlgn val="ctr"/>
        <c:lblOffset val="100"/>
        <c:noMultiLvlLbl val="0"/>
      </c:catAx>
      <c:valAx>
        <c:axId val="551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387926</xdr:colOff>
      <xdr:row>85</xdr:row>
      <xdr:rowOff>11482</xdr:rowOff>
    </xdr:from>
    <xdr:to>
      <xdr:col>6</xdr:col>
      <xdr:colOff>595746</xdr:colOff>
      <xdr:row>108</xdr:row>
      <xdr:rowOff>175489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61A976-7B58-CE68-CFA0-E0655D94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1136074</xdr:colOff>
      <xdr:row>85</xdr:row>
      <xdr:rowOff>5128</xdr:rowOff>
    </xdr:from>
    <xdr:to>
      <xdr:col>23</xdr:col>
      <xdr:colOff>304801</xdr:colOff>
      <xdr:row>109</xdr:row>
      <xdr:rowOff>9233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4DE588-658F-8CA8-CD8F-E115EF47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394161</xdr:colOff>
      <xdr:row>85</xdr:row>
      <xdr:rowOff>13047</xdr:rowOff>
    </xdr:from>
    <xdr:to>
      <xdr:col>16</xdr:col>
      <xdr:colOff>0</xdr:colOff>
      <xdr:row>108</xdr:row>
      <xdr:rowOff>161634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482CE-F87F-E967-B1E8-6F1A2881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"/>
  <sheetViews>
    <sheetView tabSelected="1" zoomScale="55" zoomScaleNormal="55" workbookViewId="0">
      <selection activeCell="A4" sqref="A4"/>
    </sheetView>
  </sheetViews>
  <sheetFormatPr defaultRowHeight="14.4" customHeight="1" x14ac:dyDescent="0.3"/>
  <cols>
    <col min="1" max="1" width="5.77734375" customWidth="1"/>
    <col min="2" max="3" width="20.5546875" customWidth="1"/>
    <col min="4" max="6" width="17.5546875" customWidth="1"/>
    <col min="7" max="7" width="8.88671875" customWidth="1"/>
    <col min="8" max="8" width="5.77734375" customWidth="1"/>
    <col min="9" max="10" width="20.5546875" customWidth="1"/>
    <col min="11" max="13" width="17.5546875" customWidth="1"/>
    <col min="14" max="14" width="8.88671875" customWidth="1"/>
    <col min="15" max="15" width="5.77734375" customWidth="1"/>
    <col min="16" max="17" width="20.5546875" customWidth="1"/>
    <col min="18" max="20" width="17.5546875" customWidth="1"/>
    <col min="21" max="21" width="8.88671875" customWidth="1"/>
    <col min="22" max="22" width="5.77734375" customWidth="1"/>
    <col min="23" max="23" width="20.5546875" customWidth="1"/>
    <col min="24" max="26" width="17.5546875" customWidth="1"/>
  </cols>
  <sheetData>
    <row r="1" spans="1:26" ht="14.4" customHeight="1" x14ac:dyDescent="0.3">
      <c r="A1" s="42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4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4" customHeight="1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5" spans="1:26" ht="14.4" customHeight="1" x14ac:dyDescent="0.3">
      <c r="A5" s="41" t="s">
        <v>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O5" s="44" t="s">
        <v>6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4" customHeight="1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8" spans="1:26" ht="14.4" customHeight="1" x14ac:dyDescent="0.3">
      <c r="A8" s="43" t="s">
        <v>19</v>
      </c>
      <c r="B8" s="43"/>
      <c r="C8" s="43"/>
      <c r="D8" s="43"/>
      <c r="E8" s="43"/>
      <c r="F8" s="43"/>
      <c r="H8" s="43" t="s">
        <v>5</v>
      </c>
      <c r="I8" s="43"/>
      <c r="J8" s="43"/>
      <c r="K8" s="43"/>
      <c r="L8" s="43"/>
      <c r="M8" s="43"/>
      <c r="O8" s="43" t="s">
        <v>19</v>
      </c>
      <c r="P8" s="43"/>
      <c r="Q8" s="43"/>
      <c r="R8" s="43"/>
      <c r="S8" s="43"/>
      <c r="T8" s="43"/>
      <c r="V8" s="29" t="s">
        <v>5</v>
      </c>
      <c r="W8" s="30"/>
      <c r="X8" s="30"/>
      <c r="Y8" s="30"/>
      <c r="Z8" s="31"/>
    </row>
    <row r="9" spans="1:26" ht="14.4" customHeight="1" x14ac:dyDescent="0.3">
      <c r="A9" s="43"/>
      <c r="B9" s="43"/>
      <c r="C9" s="43"/>
      <c r="D9" s="43"/>
      <c r="E9" s="43"/>
      <c r="F9" s="43"/>
      <c r="H9" s="43"/>
      <c r="I9" s="43"/>
      <c r="J9" s="43"/>
      <c r="K9" s="43"/>
      <c r="L9" s="43"/>
      <c r="M9" s="43"/>
      <c r="O9" s="43"/>
      <c r="P9" s="43"/>
      <c r="Q9" s="43"/>
      <c r="R9" s="43"/>
      <c r="S9" s="43"/>
      <c r="T9" s="43"/>
      <c r="V9" s="32"/>
      <c r="W9" s="33"/>
      <c r="X9" s="33"/>
      <c r="Y9" s="33"/>
      <c r="Z9" s="34"/>
    </row>
    <row r="10" spans="1:26" ht="14.4" customHeight="1" x14ac:dyDescent="0.3">
      <c r="A10" s="1" t="s">
        <v>0</v>
      </c>
      <c r="B10" s="1" t="s">
        <v>22</v>
      </c>
      <c r="C10" s="1" t="s">
        <v>1</v>
      </c>
      <c r="D10" s="1" t="s">
        <v>2</v>
      </c>
      <c r="E10" s="1" t="s">
        <v>3</v>
      </c>
      <c r="F10" s="1" t="s">
        <v>4</v>
      </c>
      <c r="H10" s="1" t="s">
        <v>0</v>
      </c>
      <c r="I10" s="1" t="s">
        <v>22</v>
      </c>
      <c r="J10" s="1" t="s">
        <v>1</v>
      </c>
      <c r="K10" s="1" t="s">
        <v>2</v>
      </c>
      <c r="L10" s="1" t="s">
        <v>3</v>
      </c>
      <c r="M10" s="1" t="s">
        <v>4</v>
      </c>
      <c r="O10" s="1" t="s">
        <v>0</v>
      </c>
      <c r="P10" s="1" t="s">
        <v>22</v>
      </c>
      <c r="Q10" s="1" t="s">
        <v>1</v>
      </c>
      <c r="R10" s="1" t="s">
        <v>2</v>
      </c>
      <c r="S10" s="1" t="s">
        <v>3</v>
      </c>
      <c r="T10" s="1" t="s">
        <v>4</v>
      </c>
      <c r="V10" s="1" t="s">
        <v>0</v>
      </c>
      <c r="W10" s="1" t="s">
        <v>22</v>
      </c>
      <c r="X10" s="1" t="s">
        <v>2</v>
      </c>
      <c r="Y10" s="1" t="s">
        <v>3</v>
      </c>
      <c r="Z10" s="1" t="s">
        <v>4</v>
      </c>
    </row>
    <row r="11" spans="1:26" ht="14.4" customHeight="1" x14ac:dyDescent="0.3">
      <c r="A11" s="1">
        <v>1</v>
      </c>
      <c r="B11" s="1" t="s">
        <v>36</v>
      </c>
      <c r="C11" s="1" t="s">
        <v>35</v>
      </c>
      <c r="D11" s="10"/>
      <c r="E11" s="2"/>
      <c r="F11" s="3">
        <f>SUM(E11:E70)</f>
        <v>0</v>
      </c>
      <c r="H11" s="1">
        <v>1</v>
      </c>
      <c r="I11" s="1" t="s">
        <v>36</v>
      </c>
      <c r="J11" s="5" t="s">
        <v>35</v>
      </c>
      <c r="K11" s="1"/>
      <c r="L11" s="2"/>
      <c r="M11" s="4">
        <f>SUM(L11:L70)</f>
        <v>0</v>
      </c>
      <c r="O11" s="1">
        <v>1</v>
      </c>
      <c r="P11" s="1" t="s">
        <v>36</v>
      </c>
      <c r="Q11" s="1" t="s">
        <v>35</v>
      </c>
      <c r="R11" s="1"/>
      <c r="S11" s="3"/>
      <c r="T11" s="3">
        <f>SUM(S11:S70)</f>
        <v>0</v>
      </c>
      <c r="V11" s="1">
        <v>1</v>
      </c>
      <c r="W11" s="1" t="s">
        <v>36</v>
      </c>
      <c r="X11" s="1"/>
      <c r="Y11" s="3"/>
      <c r="Z11" s="3">
        <f>SUM(Y11:Y70)</f>
        <v>0</v>
      </c>
    </row>
    <row r="12" spans="1:26" ht="14.4" customHeight="1" x14ac:dyDescent="0.3">
      <c r="A12" s="1">
        <v>2</v>
      </c>
      <c r="B12" s="1" t="s">
        <v>36</v>
      </c>
      <c r="C12" s="1" t="s">
        <v>35</v>
      </c>
      <c r="D12" s="10"/>
      <c r="E12" s="2"/>
      <c r="H12" s="1">
        <v>2</v>
      </c>
      <c r="I12" s="1" t="s">
        <v>36</v>
      </c>
      <c r="J12" s="5" t="s">
        <v>35</v>
      </c>
      <c r="K12" s="1"/>
      <c r="L12" s="2"/>
      <c r="O12" s="1">
        <v>2</v>
      </c>
      <c r="P12" s="1" t="s">
        <v>36</v>
      </c>
      <c r="Q12" s="1" t="s">
        <v>35</v>
      </c>
      <c r="R12" s="1"/>
      <c r="S12" s="3"/>
      <c r="V12" s="1">
        <v>2</v>
      </c>
      <c r="W12" s="1" t="s">
        <v>36</v>
      </c>
      <c r="X12" s="1"/>
      <c r="Y12" s="3"/>
    </row>
    <row r="13" spans="1:26" ht="14.4" customHeight="1" x14ac:dyDescent="0.3">
      <c r="A13" s="1">
        <v>3</v>
      </c>
      <c r="B13" s="1" t="s">
        <v>36</v>
      </c>
      <c r="C13" s="1" t="s">
        <v>35</v>
      </c>
      <c r="D13" s="10"/>
      <c r="E13" s="2"/>
      <c r="H13" s="1">
        <v>3</v>
      </c>
      <c r="I13" s="1" t="s">
        <v>36</v>
      </c>
      <c r="J13" s="5" t="s">
        <v>35</v>
      </c>
      <c r="K13" s="1"/>
      <c r="L13" s="2"/>
      <c r="O13" s="1">
        <v>3</v>
      </c>
      <c r="P13" s="1" t="s">
        <v>36</v>
      </c>
      <c r="Q13" s="1" t="s">
        <v>35</v>
      </c>
      <c r="R13" s="1"/>
      <c r="S13" s="3"/>
      <c r="V13" s="1">
        <v>3</v>
      </c>
      <c r="W13" s="1" t="s">
        <v>36</v>
      </c>
      <c r="X13" s="1"/>
      <c r="Y13" s="3"/>
    </row>
    <row r="14" spans="1:26" ht="14.4" customHeight="1" x14ac:dyDescent="0.3">
      <c r="A14" s="1">
        <v>4</v>
      </c>
      <c r="B14" s="1" t="s">
        <v>36</v>
      </c>
      <c r="C14" s="1" t="s">
        <v>35</v>
      </c>
      <c r="D14" s="10"/>
      <c r="E14" s="2"/>
      <c r="H14" s="1">
        <v>4</v>
      </c>
      <c r="I14" s="1" t="s">
        <v>36</v>
      </c>
      <c r="J14" s="5" t="s">
        <v>35</v>
      </c>
      <c r="K14" s="1"/>
      <c r="L14" s="2"/>
      <c r="O14" s="1">
        <v>4</v>
      </c>
      <c r="P14" s="1" t="s">
        <v>36</v>
      </c>
      <c r="Q14" s="1" t="s">
        <v>35</v>
      </c>
      <c r="R14" s="1"/>
      <c r="S14" s="3"/>
      <c r="V14" s="1">
        <v>4</v>
      </c>
      <c r="W14" s="1" t="s">
        <v>36</v>
      </c>
      <c r="X14" s="1"/>
      <c r="Y14" s="3"/>
    </row>
    <row r="15" spans="1:26" ht="14.4" customHeight="1" x14ac:dyDescent="0.3">
      <c r="A15" s="1">
        <v>5</v>
      </c>
      <c r="B15" s="1" t="s">
        <v>36</v>
      </c>
      <c r="C15" s="1" t="s">
        <v>35</v>
      </c>
      <c r="D15" s="10"/>
      <c r="E15" s="2"/>
      <c r="H15" s="1">
        <v>5</v>
      </c>
      <c r="I15" s="1" t="s">
        <v>36</v>
      </c>
      <c r="J15" s="5" t="s">
        <v>35</v>
      </c>
      <c r="K15" s="1"/>
      <c r="L15" s="2"/>
      <c r="O15" s="1">
        <v>5</v>
      </c>
      <c r="P15" s="1" t="s">
        <v>36</v>
      </c>
      <c r="Q15" s="1" t="s">
        <v>35</v>
      </c>
      <c r="R15" s="1"/>
      <c r="S15" s="3"/>
      <c r="V15" s="1">
        <v>5</v>
      </c>
      <c r="W15" s="1" t="s">
        <v>36</v>
      </c>
      <c r="X15" s="1"/>
      <c r="Y15" s="3"/>
    </row>
    <row r="16" spans="1:26" ht="14.4" customHeight="1" x14ac:dyDescent="0.3">
      <c r="A16" s="1">
        <v>6</v>
      </c>
      <c r="B16" s="1" t="s">
        <v>36</v>
      </c>
      <c r="C16" s="1" t="s">
        <v>35</v>
      </c>
      <c r="D16" s="1"/>
      <c r="E16" s="2"/>
      <c r="H16" s="1">
        <v>6</v>
      </c>
      <c r="I16" s="1" t="s">
        <v>36</v>
      </c>
      <c r="J16" s="5" t="s">
        <v>35</v>
      </c>
      <c r="K16" s="1"/>
      <c r="L16" s="2"/>
      <c r="O16" s="1">
        <v>6</v>
      </c>
      <c r="P16" s="1" t="s">
        <v>36</v>
      </c>
      <c r="Q16" s="1" t="s">
        <v>35</v>
      </c>
      <c r="R16" s="1"/>
      <c r="S16" s="3"/>
      <c r="V16" s="1">
        <v>6</v>
      </c>
      <c r="W16" s="1" t="s">
        <v>36</v>
      </c>
      <c r="X16" s="1"/>
      <c r="Y16" s="3"/>
    </row>
    <row r="17" spans="1:25" ht="14.4" customHeight="1" x14ac:dyDescent="0.3">
      <c r="A17" s="1">
        <v>7</v>
      </c>
      <c r="B17" s="1" t="s">
        <v>36</v>
      </c>
      <c r="C17" s="1" t="s">
        <v>35</v>
      </c>
      <c r="D17" s="1"/>
      <c r="E17" s="2"/>
      <c r="H17" s="1">
        <v>7</v>
      </c>
      <c r="I17" s="1" t="s">
        <v>36</v>
      </c>
      <c r="J17" s="5" t="s">
        <v>35</v>
      </c>
      <c r="K17" s="1"/>
      <c r="L17" s="2"/>
      <c r="O17" s="1">
        <v>7</v>
      </c>
      <c r="P17" s="1" t="s">
        <v>36</v>
      </c>
      <c r="Q17" s="1" t="s">
        <v>35</v>
      </c>
      <c r="R17" s="1"/>
      <c r="S17" s="3"/>
      <c r="V17" s="1">
        <v>7</v>
      </c>
      <c r="W17" s="1" t="s">
        <v>36</v>
      </c>
      <c r="X17" s="1"/>
      <c r="Y17" s="3"/>
    </row>
    <row r="18" spans="1:25" ht="14.4" customHeight="1" x14ac:dyDescent="0.3">
      <c r="A18" s="1">
        <v>8</v>
      </c>
      <c r="B18" s="1" t="s">
        <v>36</v>
      </c>
      <c r="C18" s="1" t="s">
        <v>35</v>
      </c>
      <c r="D18" s="1"/>
      <c r="E18" s="2"/>
      <c r="H18" s="1">
        <v>8</v>
      </c>
      <c r="I18" s="1" t="s">
        <v>36</v>
      </c>
      <c r="J18" s="5" t="s">
        <v>35</v>
      </c>
      <c r="K18" s="1"/>
      <c r="L18" s="2"/>
      <c r="O18" s="1">
        <v>8</v>
      </c>
      <c r="P18" s="1" t="s">
        <v>36</v>
      </c>
      <c r="Q18" s="1" t="s">
        <v>35</v>
      </c>
      <c r="R18" s="1"/>
      <c r="S18" s="3"/>
      <c r="V18" s="1">
        <v>8</v>
      </c>
      <c r="W18" s="1" t="s">
        <v>36</v>
      </c>
      <c r="X18" s="1"/>
      <c r="Y18" s="3"/>
    </row>
    <row r="19" spans="1:25" ht="14.4" customHeight="1" x14ac:dyDescent="0.3">
      <c r="A19" s="1">
        <v>9</v>
      </c>
      <c r="B19" s="1" t="s">
        <v>36</v>
      </c>
      <c r="C19" s="1" t="s">
        <v>35</v>
      </c>
      <c r="D19" s="1"/>
      <c r="E19" s="2"/>
      <c r="H19" s="1">
        <v>9</v>
      </c>
      <c r="I19" s="1" t="s">
        <v>36</v>
      </c>
      <c r="J19" s="5" t="s">
        <v>35</v>
      </c>
      <c r="K19" s="1"/>
      <c r="L19" s="2"/>
      <c r="O19" s="1">
        <v>9</v>
      </c>
      <c r="P19" s="1" t="s">
        <v>36</v>
      </c>
      <c r="Q19" s="1" t="s">
        <v>35</v>
      </c>
      <c r="R19" s="1"/>
      <c r="S19" s="3"/>
      <c r="V19" s="1">
        <v>9</v>
      </c>
      <c r="W19" s="1" t="s">
        <v>36</v>
      </c>
      <c r="X19" s="1"/>
      <c r="Y19" s="3"/>
    </row>
    <row r="20" spans="1:25" ht="14.4" customHeight="1" x14ac:dyDescent="0.3">
      <c r="A20" s="1">
        <v>10</v>
      </c>
      <c r="B20" s="1" t="s">
        <v>36</v>
      </c>
      <c r="C20" s="1" t="s">
        <v>35</v>
      </c>
      <c r="D20" s="1"/>
      <c r="E20" s="2"/>
      <c r="H20" s="1">
        <v>10</v>
      </c>
      <c r="I20" s="1" t="s">
        <v>36</v>
      </c>
      <c r="J20" s="5" t="s">
        <v>35</v>
      </c>
      <c r="K20" s="1"/>
      <c r="L20" s="2"/>
      <c r="O20" s="1">
        <v>10</v>
      </c>
      <c r="P20" s="1" t="s">
        <v>36</v>
      </c>
      <c r="Q20" s="1" t="s">
        <v>35</v>
      </c>
      <c r="R20" s="1"/>
      <c r="S20" s="3"/>
      <c r="V20" s="1">
        <v>10</v>
      </c>
      <c r="W20" s="1" t="s">
        <v>36</v>
      </c>
      <c r="X20" s="1"/>
      <c r="Y20" s="3"/>
    </row>
    <row r="21" spans="1:25" ht="14.4" customHeight="1" x14ac:dyDescent="0.3">
      <c r="A21" s="1">
        <v>11</v>
      </c>
      <c r="B21" s="1" t="s">
        <v>36</v>
      </c>
      <c r="C21" s="1" t="s">
        <v>35</v>
      </c>
      <c r="D21" s="1"/>
      <c r="E21" s="2"/>
      <c r="H21" s="1">
        <v>11</v>
      </c>
      <c r="I21" s="1" t="s">
        <v>36</v>
      </c>
      <c r="J21" s="5" t="s">
        <v>35</v>
      </c>
      <c r="K21" s="1"/>
      <c r="L21" s="2"/>
      <c r="O21" s="1">
        <v>11</v>
      </c>
      <c r="P21" s="1" t="s">
        <v>36</v>
      </c>
      <c r="Q21" s="1" t="s">
        <v>35</v>
      </c>
      <c r="R21" s="1"/>
      <c r="S21" s="3"/>
      <c r="V21" s="1">
        <v>11</v>
      </c>
      <c r="W21" s="1" t="s">
        <v>36</v>
      </c>
      <c r="X21" s="1"/>
      <c r="Y21" s="3"/>
    </row>
    <row r="22" spans="1:25" ht="14.4" customHeight="1" x14ac:dyDescent="0.3">
      <c r="A22" s="1">
        <v>12</v>
      </c>
      <c r="B22" s="1" t="s">
        <v>36</v>
      </c>
      <c r="C22" s="1" t="s">
        <v>35</v>
      </c>
      <c r="D22" s="1"/>
      <c r="E22" s="2"/>
      <c r="H22" s="1">
        <v>12</v>
      </c>
      <c r="I22" s="1" t="s">
        <v>36</v>
      </c>
      <c r="J22" s="5" t="s">
        <v>35</v>
      </c>
      <c r="K22" s="1"/>
      <c r="L22" s="2"/>
      <c r="O22" s="1">
        <v>12</v>
      </c>
      <c r="P22" s="1" t="s">
        <v>36</v>
      </c>
      <c r="Q22" s="1" t="s">
        <v>35</v>
      </c>
      <c r="R22" s="1"/>
      <c r="S22" s="3"/>
      <c r="V22" s="1">
        <v>12</v>
      </c>
      <c r="W22" s="1" t="s">
        <v>36</v>
      </c>
      <c r="X22" s="1"/>
      <c r="Y22" s="3"/>
    </row>
    <row r="23" spans="1:25" ht="14.4" customHeight="1" x14ac:dyDescent="0.3">
      <c r="A23" s="1">
        <v>13</v>
      </c>
      <c r="B23" s="1" t="s">
        <v>36</v>
      </c>
      <c r="C23" s="1" t="s">
        <v>35</v>
      </c>
      <c r="D23" s="1"/>
      <c r="E23" s="2"/>
      <c r="H23" s="1">
        <v>13</v>
      </c>
      <c r="I23" s="1" t="s">
        <v>36</v>
      </c>
      <c r="J23" s="5" t="s">
        <v>35</v>
      </c>
      <c r="K23" s="1"/>
      <c r="L23" s="2"/>
      <c r="O23" s="1">
        <v>13</v>
      </c>
      <c r="P23" s="1" t="s">
        <v>36</v>
      </c>
      <c r="Q23" s="1" t="s">
        <v>35</v>
      </c>
      <c r="R23" s="1"/>
      <c r="S23" s="3"/>
      <c r="V23" s="1">
        <v>13</v>
      </c>
      <c r="W23" s="1" t="s">
        <v>36</v>
      </c>
      <c r="X23" s="1"/>
      <c r="Y23" s="3"/>
    </row>
    <row r="24" spans="1:25" ht="14.4" customHeight="1" x14ac:dyDescent="0.3">
      <c r="A24" s="1">
        <v>14</v>
      </c>
      <c r="B24" s="1" t="s">
        <v>36</v>
      </c>
      <c r="C24" s="1" t="s">
        <v>35</v>
      </c>
      <c r="D24" s="1"/>
      <c r="E24" s="2"/>
      <c r="H24" s="1">
        <v>14</v>
      </c>
      <c r="I24" s="1" t="s">
        <v>36</v>
      </c>
      <c r="J24" s="5" t="s">
        <v>35</v>
      </c>
      <c r="K24" s="1"/>
      <c r="L24" s="2"/>
      <c r="O24" s="1">
        <v>14</v>
      </c>
      <c r="P24" s="1" t="s">
        <v>36</v>
      </c>
      <c r="Q24" s="1" t="s">
        <v>35</v>
      </c>
      <c r="R24" s="1"/>
      <c r="S24" s="3"/>
      <c r="V24" s="1">
        <v>14</v>
      </c>
      <c r="W24" s="1" t="s">
        <v>36</v>
      </c>
      <c r="X24" s="1"/>
      <c r="Y24" s="3"/>
    </row>
    <row r="25" spans="1:25" ht="14.4" customHeight="1" x14ac:dyDescent="0.3">
      <c r="A25" s="1">
        <v>15</v>
      </c>
      <c r="B25" s="1" t="s">
        <v>36</v>
      </c>
      <c r="C25" s="1" t="s">
        <v>35</v>
      </c>
      <c r="D25" s="1"/>
      <c r="E25" s="2"/>
      <c r="H25" s="1">
        <v>15</v>
      </c>
      <c r="I25" s="1" t="s">
        <v>36</v>
      </c>
      <c r="J25" s="5" t="s">
        <v>35</v>
      </c>
      <c r="K25" s="1"/>
      <c r="L25" s="2"/>
      <c r="O25" s="1">
        <v>15</v>
      </c>
      <c r="P25" s="1" t="s">
        <v>36</v>
      </c>
      <c r="Q25" s="1" t="s">
        <v>35</v>
      </c>
      <c r="R25" s="1"/>
      <c r="S25" s="3"/>
      <c r="V25" s="1">
        <v>15</v>
      </c>
      <c r="W25" s="1" t="s">
        <v>36</v>
      </c>
      <c r="X25" s="1"/>
      <c r="Y25" s="3"/>
    </row>
    <row r="26" spans="1:25" ht="14.4" customHeight="1" x14ac:dyDescent="0.3">
      <c r="A26" s="1">
        <v>16</v>
      </c>
      <c r="B26" s="1" t="s">
        <v>36</v>
      </c>
      <c r="C26" s="1" t="s">
        <v>35</v>
      </c>
      <c r="D26" s="1"/>
      <c r="E26" s="2"/>
      <c r="H26" s="1">
        <v>16</v>
      </c>
      <c r="I26" s="1" t="s">
        <v>36</v>
      </c>
      <c r="J26" s="5" t="s">
        <v>35</v>
      </c>
      <c r="K26" s="1"/>
      <c r="L26" s="2"/>
      <c r="O26" s="1">
        <v>16</v>
      </c>
      <c r="P26" s="1" t="s">
        <v>36</v>
      </c>
      <c r="Q26" s="1" t="s">
        <v>35</v>
      </c>
      <c r="R26" s="1"/>
      <c r="S26" s="3"/>
      <c r="V26" s="1">
        <v>16</v>
      </c>
      <c r="W26" s="1" t="s">
        <v>36</v>
      </c>
      <c r="X26" s="1"/>
      <c r="Y26" s="3"/>
    </row>
    <row r="27" spans="1:25" ht="14.4" customHeight="1" x14ac:dyDescent="0.3">
      <c r="A27" s="1">
        <v>17</v>
      </c>
      <c r="B27" s="1" t="s">
        <v>36</v>
      </c>
      <c r="C27" s="1" t="s">
        <v>35</v>
      </c>
      <c r="D27" s="1"/>
      <c r="E27" s="2"/>
      <c r="H27" s="1">
        <v>17</v>
      </c>
      <c r="I27" s="1" t="s">
        <v>36</v>
      </c>
      <c r="J27" s="5" t="s">
        <v>35</v>
      </c>
      <c r="K27" s="1"/>
      <c r="L27" s="2"/>
      <c r="O27" s="1">
        <v>17</v>
      </c>
      <c r="P27" s="1" t="s">
        <v>36</v>
      </c>
      <c r="Q27" s="1" t="s">
        <v>35</v>
      </c>
      <c r="R27" s="1"/>
      <c r="S27" s="3"/>
      <c r="V27" s="1">
        <v>17</v>
      </c>
      <c r="W27" s="1" t="s">
        <v>36</v>
      </c>
      <c r="X27" s="1"/>
      <c r="Y27" s="3"/>
    </row>
    <row r="28" spans="1:25" ht="14.4" customHeight="1" x14ac:dyDescent="0.3">
      <c r="A28" s="1">
        <v>18</v>
      </c>
      <c r="B28" s="1" t="s">
        <v>36</v>
      </c>
      <c r="C28" s="1" t="s">
        <v>35</v>
      </c>
      <c r="D28" s="1"/>
      <c r="E28" s="2"/>
      <c r="H28" s="1">
        <v>18</v>
      </c>
      <c r="I28" s="1" t="s">
        <v>36</v>
      </c>
      <c r="J28" s="5" t="s">
        <v>35</v>
      </c>
      <c r="K28" s="1"/>
      <c r="L28" s="2"/>
      <c r="O28" s="1">
        <v>18</v>
      </c>
      <c r="P28" s="1" t="s">
        <v>36</v>
      </c>
      <c r="Q28" s="1" t="s">
        <v>35</v>
      </c>
      <c r="R28" s="1"/>
      <c r="S28" s="3"/>
      <c r="V28" s="1">
        <v>18</v>
      </c>
      <c r="W28" s="1" t="s">
        <v>36</v>
      </c>
      <c r="X28" s="1"/>
      <c r="Y28" s="3"/>
    </row>
    <row r="29" spans="1:25" ht="14.4" customHeight="1" x14ac:dyDescent="0.3">
      <c r="A29" s="1">
        <v>19</v>
      </c>
      <c r="B29" s="1" t="s">
        <v>36</v>
      </c>
      <c r="C29" s="1" t="s">
        <v>35</v>
      </c>
      <c r="D29" s="1"/>
      <c r="E29" s="2"/>
      <c r="H29" s="1">
        <v>19</v>
      </c>
      <c r="I29" s="1" t="s">
        <v>36</v>
      </c>
      <c r="J29" s="5" t="s">
        <v>35</v>
      </c>
      <c r="K29" s="1"/>
      <c r="L29" s="2"/>
      <c r="O29" s="1">
        <v>19</v>
      </c>
      <c r="P29" s="1" t="s">
        <v>36</v>
      </c>
      <c r="Q29" s="1" t="s">
        <v>35</v>
      </c>
      <c r="R29" s="1"/>
      <c r="S29" s="3"/>
      <c r="V29" s="1">
        <v>19</v>
      </c>
      <c r="W29" s="1" t="s">
        <v>36</v>
      </c>
      <c r="X29" s="1"/>
      <c r="Y29" s="3"/>
    </row>
    <row r="30" spans="1:25" ht="14.4" customHeight="1" x14ac:dyDescent="0.3">
      <c r="A30" s="1">
        <v>20</v>
      </c>
      <c r="B30" s="1" t="s">
        <v>36</v>
      </c>
      <c r="C30" s="1" t="s">
        <v>35</v>
      </c>
      <c r="D30" s="1"/>
      <c r="E30" s="2"/>
      <c r="H30" s="1">
        <v>20</v>
      </c>
      <c r="I30" s="1" t="s">
        <v>36</v>
      </c>
      <c r="J30" s="5" t="s">
        <v>35</v>
      </c>
      <c r="K30" s="1"/>
      <c r="L30" s="2"/>
      <c r="O30" s="1">
        <v>20</v>
      </c>
      <c r="P30" s="1" t="s">
        <v>36</v>
      </c>
      <c r="Q30" s="1" t="s">
        <v>35</v>
      </c>
      <c r="R30" s="1"/>
      <c r="S30" s="3"/>
      <c r="V30" s="1">
        <v>20</v>
      </c>
      <c r="W30" s="1" t="s">
        <v>36</v>
      </c>
      <c r="X30" s="1"/>
      <c r="Y30" s="3"/>
    </row>
    <row r="31" spans="1:25" ht="14.4" customHeight="1" x14ac:dyDescent="0.3">
      <c r="A31" s="1">
        <v>21</v>
      </c>
      <c r="B31" s="1" t="s">
        <v>36</v>
      </c>
      <c r="C31" s="1" t="s">
        <v>35</v>
      </c>
      <c r="D31" s="1"/>
      <c r="E31" s="2"/>
      <c r="H31" s="1">
        <v>21</v>
      </c>
      <c r="I31" s="1" t="s">
        <v>36</v>
      </c>
      <c r="J31" s="5" t="s">
        <v>35</v>
      </c>
      <c r="K31" s="1"/>
      <c r="L31" s="2"/>
      <c r="O31" s="1">
        <v>21</v>
      </c>
      <c r="P31" s="1" t="s">
        <v>36</v>
      </c>
      <c r="Q31" s="1" t="s">
        <v>35</v>
      </c>
      <c r="R31" s="1"/>
      <c r="S31" s="3"/>
      <c r="V31" s="1">
        <v>21</v>
      </c>
      <c r="W31" s="1" t="s">
        <v>36</v>
      </c>
      <c r="X31" s="1"/>
      <c r="Y31" s="3"/>
    </row>
    <row r="32" spans="1:25" ht="14.4" customHeight="1" x14ac:dyDescent="0.3">
      <c r="A32" s="1">
        <v>22</v>
      </c>
      <c r="B32" s="1" t="s">
        <v>36</v>
      </c>
      <c r="C32" s="1" t="s">
        <v>35</v>
      </c>
      <c r="D32" s="1"/>
      <c r="E32" s="2"/>
      <c r="H32" s="1">
        <v>22</v>
      </c>
      <c r="I32" s="1" t="s">
        <v>36</v>
      </c>
      <c r="J32" s="5" t="s">
        <v>35</v>
      </c>
      <c r="K32" s="1"/>
      <c r="L32" s="2"/>
      <c r="O32" s="1">
        <v>22</v>
      </c>
      <c r="P32" s="1" t="s">
        <v>36</v>
      </c>
      <c r="Q32" s="1" t="s">
        <v>35</v>
      </c>
      <c r="R32" s="1"/>
      <c r="S32" s="3"/>
      <c r="V32" s="1">
        <v>22</v>
      </c>
      <c r="W32" s="1" t="s">
        <v>36</v>
      </c>
      <c r="X32" s="1"/>
      <c r="Y32" s="3"/>
    </row>
    <row r="33" spans="1:25" ht="14.4" customHeight="1" x14ac:dyDescent="0.3">
      <c r="A33" s="1">
        <v>23</v>
      </c>
      <c r="B33" s="1" t="s">
        <v>36</v>
      </c>
      <c r="C33" s="1" t="s">
        <v>35</v>
      </c>
      <c r="D33" s="1"/>
      <c r="E33" s="2"/>
      <c r="H33" s="1">
        <v>23</v>
      </c>
      <c r="I33" s="1" t="s">
        <v>36</v>
      </c>
      <c r="J33" s="5" t="s">
        <v>35</v>
      </c>
      <c r="K33" s="1"/>
      <c r="L33" s="2"/>
      <c r="O33" s="1">
        <v>23</v>
      </c>
      <c r="P33" s="1" t="s">
        <v>36</v>
      </c>
      <c r="Q33" s="1" t="s">
        <v>35</v>
      </c>
      <c r="R33" s="1"/>
      <c r="S33" s="3"/>
      <c r="V33" s="1">
        <v>23</v>
      </c>
      <c r="W33" s="1" t="s">
        <v>36</v>
      </c>
      <c r="X33" s="1"/>
      <c r="Y33" s="3"/>
    </row>
    <row r="34" spans="1:25" ht="14.4" customHeight="1" x14ac:dyDescent="0.3">
      <c r="A34" s="1">
        <v>24</v>
      </c>
      <c r="B34" s="1" t="s">
        <v>36</v>
      </c>
      <c r="C34" s="1" t="s">
        <v>35</v>
      </c>
      <c r="D34" s="1"/>
      <c r="E34" s="2"/>
      <c r="H34" s="1">
        <v>24</v>
      </c>
      <c r="I34" s="1" t="s">
        <v>36</v>
      </c>
      <c r="J34" s="5" t="s">
        <v>35</v>
      </c>
      <c r="K34" s="1"/>
      <c r="L34" s="2"/>
      <c r="O34" s="1">
        <v>24</v>
      </c>
      <c r="P34" s="1" t="s">
        <v>36</v>
      </c>
      <c r="Q34" s="1" t="s">
        <v>35</v>
      </c>
      <c r="R34" s="1"/>
      <c r="S34" s="3"/>
      <c r="V34" s="1">
        <v>24</v>
      </c>
      <c r="W34" s="1" t="s">
        <v>36</v>
      </c>
      <c r="X34" s="1"/>
      <c r="Y34" s="3"/>
    </row>
    <row r="35" spans="1:25" ht="14.4" customHeight="1" x14ac:dyDescent="0.3">
      <c r="A35" s="1">
        <v>25</v>
      </c>
      <c r="B35" s="1" t="s">
        <v>36</v>
      </c>
      <c r="C35" s="1" t="s">
        <v>35</v>
      </c>
      <c r="D35" s="1"/>
      <c r="E35" s="2"/>
      <c r="H35" s="1">
        <v>25</v>
      </c>
      <c r="I35" s="1" t="s">
        <v>36</v>
      </c>
      <c r="J35" s="5" t="s">
        <v>35</v>
      </c>
      <c r="K35" s="1"/>
      <c r="L35" s="2"/>
      <c r="O35" s="1">
        <v>25</v>
      </c>
      <c r="P35" s="1" t="s">
        <v>36</v>
      </c>
      <c r="Q35" s="1" t="s">
        <v>35</v>
      </c>
      <c r="R35" s="1"/>
      <c r="S35" s="3"/>
      <c r="V35" s="1">
        <v>25</v>
      </c>
      <c r="W35" s="1" t="s">
        <v>36</v>
      </c>
      <c r="X35" s="1"/>
      <c r="Y35" s="3"/>
    </row>
    <row r="36" spans="1:25" ht="14.4" customHeight="1" x14ac:dyDescent="0.3">
      <c r="A36" s="1">
        <v>26</v>
      </c>
      <c r="B36" s="1" t="s">
        <v>36</v>
      </c>
      <c r="C36" s="1" t="s">
        <v>35</v>
      </c>
      <c r="D36" s="1"/>
      <c r="E36" s="2"/>
      <c r="H36" s="1">
        <v>26</v>
      </c>
      <c r="I36" s="1" t="s">
        <v>36</v>
      </c>
      <c r="J36" s="5" t="s">
        <v>35</v>
      </c>
      <c r="K36" s="1"/>
      <c r="L36" s="2"/>
      <c r="O36" s="1">
        <v>26</v>
      </c>
      <c r="P36" s="1" t="s">
        <v>36</v>
      </c>
      <c r="Q36" s="1" t="s">
        <v>35</v>
      </c>
      <c r="R36" s="1"/>
      <c r="S36" s="3"/>
      <c r="V36" s="1">
        <v>26</v>
      </c>
      <c r="W36" s="1" t="s">
        <v>36</v>
      </c>
      <c r="X36" s="1"/>
      <c r="Y36" s="3"/>
    </row>
    <row r="37" spans="1:25" ht="14.4" customHeight="1" x14ac:dyDescent="0.3">
      <c r="A37" s="1">
        <v>27</v>
      </c>
      <c r="B37" s="1" t="s">
        <v>36</v>
      </c>
      <c r="C37" s="1" t="s">
        <v>35</v>
      </c>
      <c r="D37" s="1"/>
      <c r="E37" s="2"/>
      <c r="H37" s="1">
        <v>27</v>
      </c>
      <c r="I37" s="1" t="s">
        <v>36</v>
      </c>
      <c r="J37" s="5" t="s">
        <v>35</v>
      </c>
      <c r="K37" s="1"/>
      <c r="L37" s="2"/>
      <c r="O37" s="1">
        <v>27</v>
      </c>
      <c r="P37" s="1" t="s">
        <v>36</v>
      </c>
      <c r="Q37" s="1" t="s">
        <v>35</v>
      </c>
      <c r="R37" s="1"/>
      <c r="S37" s="3"/>
      <c r="V37" s="1">
        <v>27</v>
      </c>
      <c r="W37" s="1" t="s">
        <v>36</v>
      </c>
      <c r="X37" s="1"/>
      <c r="Y37" s="3"/>
    </row>
    <row r="38" spans="1:25" ht="14.4" customHeight="1" x14ac:dyDescent="0.3">
      <c r="A38" s="1">
        <v>28</v>
      </c>
      <c r="B38" s="1" t="s">
        <v>36</v>
      </c>
      <c r="C38" s="1" t="s">
        <v>35</v>
      </c>
      <c r="D38" s="1"/>
      <c r="E38" s="2"/>
      <c r="H38" s="1">
        <v>28</v>
      </c>
      <c r="I38" s="1" t="s">
        <v>36</v>
      </c>
      <c r="J38" s="5" t="s">
        <v>35</v>
      </c>
      <c r="K38" s="1"/>
      <c r="L38" s="2"/>
      <c r="O38" s="1">
        <v>28</v>
      </c>
      <c r="P38" s="1" t="s">
        <v>36</v>
      </c>
      <c r="Q38" s="1" t="s">
        <v>35</v>
      </c>
      <c r="R38" s="1"/>
      <c r="S38" s="3"/>
      <c r="V38" s="1">
        <v>28</v>
      </c>
      <c r="W38" s="1" t="s">
        <v>36</v>
      </c>
      <c r="X38" s="1"/>
      <c r="Y38" s="3"/>
    </row>
    <row r="39" spans="1:25" ht="14.4" customHeight="1" x14ac:dyDescent="0.3">
      <c r="A39" s="1">
        <v>29</v>
      </c>
      <c r="B39" s="1" t="s">
        <v>36</v>
      </c>
      <c r="C39" s="1" t="s">
        <v>35</v>
      </c>
      <c r="D39" s="1"/>
      <c r="E39" s="2"/>
      <c r="H39" s="1">
        <v>29</v>
      </c>
      <c r="I39" s="1" t="s">
        <v>36</v>
      </c>
      <c r="J39" s="5" t="s">
        <v>35</v>
      </c>
      <c r="K39" s="1"/>
      <c r="L39" s="2"/>
      <c r="O39" s="1">
        <v>29</v>
      </c>
      <c r="P39" s="1" t="s">
        <v>36</v>
      </c>
      <c r="Q39" s="1" t="s">
        <v>35</v>
      </c>
      <c r="R39" s="1"/>
      <c r="S39" s="3"/>
      <c r="V39" s="1">
        <v>29</v>
      </c>
      <c r="W39" s="1" t="s">
        <v>36</v>
      </c>
      <c r="X39" s="1"/>
      <c r="Y39" s="3"/>
    </row>
    <row r="40" spans="1:25" ht="14.4" customHeight="1" x14ac:dyDescent="0.3">
      <c r="A40" s="1">
        <v>30</v>
      </c>
      <c r="B40" s="1" t="s">
        <v>36</v>
      </c>
      <c r="C40" s="1" t="s">
        <v>35</v>
      </c>
      <c r="D40" s="1"/>
      <c r="E40" s="2"/>
      <c r="H40" s="1">
        <v>30</v>
      </c>
      <c r="I40" s="1" t="s">
        <v>36</v>
      </c>
      <c r="J40" s="5" t="s">
        <v>35</v>
      </c>
      <c r="K40" s="1"/>
      <c r="L40" s="2"/>
      <c r="O40" s="1">
        <v>30</v>
      </c>
      <c r="P40" s="1" t="s">
        <v>36</v>
      </c>
      <c r="Q40" s="1" t="s">
        <v>35</v>
      </c>
      <c r="R40" s="1"/>
      <c r="S40" s="3"/>
      <c r="V40" s="1">
        <v>30</v>
      </c>
      <c r="W40" s="1" t="s">
        <v>36</v>
      </c>
      <c r="X40" s="1"/>
      <c r="Y40" s="3"/>
    </row>
    <row r="41" spans="1:25" ht="14.4" customHeight="1" x14ac:dyDescent="0.3">
      <c r="A41" s="1">
        <v>31</v>
      </c>
      <c r="B41" s="1" t="s">
        <v>36</v>
      </c>
      <c r="C41" s="1" t="s">
        <v>35</v>
      </c>
      <c r="D41" s="1"/>
      <c r="E41" s="2"/>
      <c r="H41" s="1">
        <v>31</v>
      </c>
      <c r="I41" s="1" t="s">
        <v>36</v>
      </c>
      <c r="J41" s="5" t="s">
        <v>35</v>
      </c>
      <c r="K41" s="1"/>
      <c r="L41" s="2"/>
      <c r="O41" s="1">
        <v>31</v>
      </c>
      <c r="P41" s="1" t="s">
        <v>36</v>
      </c>
      <c r="Q41" s="1" t="s">
        <v>35</v>
      </c>
      <c r="R41" s="1"/>
      <c r="S41" s="3"/>
      <c r="V41" s="1">
        <v>31</v>
      </c>
      <c r="W41" s="1" t="s">
        <v>36</v>
      </c>
      <c r="X41" s="1"/>
      <c r="Y41" s="3"/>
    </row>
    <row r="42" spans="1:25" ht="14.4" customHeight="1" x14ac:dyDescent="0.3">
      <c r="A42" s="1">
        <v>32</v>
      </c>
      <c r="B42" s="1" t="s">
        <v>36</v>
      </c>
      <c r="C42" s="1" t="s">
        <v>35</v>
      </c>
      <c r="D42" s="1"/>
      <c r="E42" s="2"/>
      <c r="H42" s="1">
        <v>32</v>
      </c>
      <c r="I42" s="1" t="s">
        <v>36</v>
      </c>
      <c r="J42" s="5" t="s">
        <v>35</v>
      </c>
      <c r="K42" s="1"/>
      <c r="L42" s="2"/>
      <c r="O42" s="1">
        <v>32</v>
      </c>
      <c r="P42" s="1" t="s">
        <v>36</v>
      </c>
      <c r="Q42" s="1" t="s">
        <v>35</v>
      </c>
      <c r="R42" s="1"/>
      <c r="S42" s="3"/>
      <c r="V42" s="1">
        <v>32</v>
      </c>
      <c r="W42" s="1" t="s">
        <v>36</v>
      </c>
      <c r="X42" s="1"/>
      <c r="Y42" s="3"/>
    </row>
    <row r="43" spans="1:25" ht="14.4" customHeight="1" x14ac:dyDescent="0.3">
      <c r="A43" s="1">
        <v>33</v>
      </c>
      <c r="B43" s="1" t="s">
        <v>36</v>
      </c>
      <c r="C43" s="1" t="s">
        <v>35</v>
      </c>
      <c r="D43" s="1"/>
      <c r="E43" s="2"/>
      <c r="H43" s="1">
        <v>33</v>
      </c>
      <c r="I43" s="1" t="s">
        <v>36</v>
      </c>
      <c r="J43" s="5" t="s">
        <v>35</v>
      </c>
      <c r="K43" s="1"/>
      <c r="L43" s="2"/>
      <c r="O43" s="1">
        <v>33</v>
      </c>
      <c r="P43" s="1" t="s">
        <v>36</v>
      </c>
      <c r="Q43" s="1" t="s">
        <v>35</v>
      </c>
      <c r="R43" s="1"/>
      <c r="S43" s="3"/>
      <c r="V43" s="1">
        <v>33</v>
      </c>
      <c r="W43" s="1" t="s">
        <v>36</v>
      </c>
      <c r="X43" s="1"/>
      <c r="Y43" s="3"/>
    </row>
    <row r="44" spans="1:25" ht="14.4" customHeight="1" x14ac:dyDescent="0.3">
      <c r="A44" s="1">
        <v>34</v>
      </c>
      <c r="B44" s="1" t="s">
        <v>36</v>
      </c>
      <c r="C44" s="1" t="s">
        <v>35</v>
      </c>
      <c r="D44" s="1"/>
      <c r="E44" s="2"/>
      <c r="H44" s="1">
        <v>34</v>
      </c>
      <c r="I44" s="1" t="s">
        <v>36</v>
      </c>
      <c r="J44" s="5" t="s">
        <v>35</v>
      </c>
      <c r="K44" s="1"/>
      <c r="L44" s="2"/>
      <c r="O44" s="1">
        <v>34</v>
      </c>
      <c r="P44" s="1" t="s">
        <v>36</v>
      </c>
      <c r="Q44" s="1" t="s">
        <v>35</v>
      </c>
      <c r="R44" s="1"/>
      <c r="S44" s="3"/>
      <c r="V44" s="1">
        <v>34</v>
      </c>
      <c r="W44" s="1" t="s">
        <v>36</v>
      </c>
      <c r="X44" s="1"/>
      <c r="Y44" s="3"/>
    </row>
    <row r="45" spans="1:25" ht="14.4" customHeight="1" x14ac:dyDescent="0.3">
      <c r="A45" s="1">
        <v>35</v>
      </c>
      <c r="B45" s="1" t="s">
        <v>36</v>
      </c>
      <c r="C45" s="1" t="s">
        <v>35</v>
      </c>
      <c r="D45" s="1"/>
      <c r="E45" s="2"/>
      <c r="H45" s="1">
        <v>35</v>
      </c>
      <c r="I45" s="1" t="s">
        <v>36</v>
      </c>
      <c r="J45" s="5" t="s">
        <v>35</v>
      </c>
      <c r="K45" s="1"/>
      <c r="L45" s="2"/>
      <c r="O45" s="1">
        <v>35</v>
      </c>
      <c r="P45" s="1" t="s">
        <v>36</v>
      </c>
      <c r="Q45" s="1" t="s">
        <v>35</v>
      </c>
      <c r="R45" s="1"/>
      <c r="S45" s="3"/>
      <c r="V45" s="1">
        <v>35</v>
      </c>
      <c r="W45" s="1" t="s">
        <v>36</v>
      </c>
      <c r="X45" s="1"/>
      <c r="Y45" s="3"/>
    </row>
    <row r="46" spans="1:25" ht="14.4" customHeight="1" x14ac:dyDescent="0.3">
      <c r="A46" s="1">
        <v>36</v>
      </c>
      <c r="B46" s="1" t="s">
        <v>36</v>
      </c>
      <c r="C46" s="1" t="s">
        <v>35</v>
      </c>
      <c r="D46" s="1"/>
      <c r="E46" s="2"/>
      <c r="H46" s="1">
        <v>36</v>
      </c>
      <c r="I46" s="1" t="s">
        <v>36</v>
      </c>
      <c r="J46" s="5" t="s">
        <v>35</v>
      </c>
      <c r="K46" s="1"/>
      <c r="L46" s="2"/>
      <c r="O46" s="1">
        <v>36</v>
      </c>
      <c r="P46" s="1" t="s">
        <v>36</v>
      </c>
      <c r="Q46" s="1" t="s">
        <v>35</v>
      </c>
      <c r="R46" s="1"/>
      <c r="S46" s="3"/>
      <c r="V46" s="1">
        <v>36</v>
      </c>
      <c r="W46" s="1" t="s">
        <v>36</v>
      </c>
      <c r="X46" s="1"/>
      <c r="Y46" s="3"/>
    </row>
    <row r="47" spans="1:25" ht="14.4" customHeight="1" x14ac:dyDescent="0.3">
      <c r="A47" s="1">
        <v>37</v>
      </c>
      <c r="B47" s="1" t="s">
        <v>36</v>
      </c>
      <c r="C47" s="1" t="s">
        <v>35</v>
      </c>
      <c r="D47" s="1"/>
      <c r="E47" s="2"/>
      <c r="H47" s="1">
        <v>37</v>
      </c>
      <c r="I47" s="1" t="s">
        <v>36</v>
      </c>
      <c r="J47" s="5" t="s">
        <v>35</v>
      </c>
      <c r="K47" s="1"/>
      <c r="L47" s="2"/>
      <c r="O47" s="1">
        <v>37</v>
      </c>
      <c r="P47" s="1" t="s">
        <v>36</v>
      </c>
      <c r="Q47" s="1" t="s">
        <v>35</v>
      </c>
      <c r="R47" s="1"/>
      <c r="S47" s="3"/>
      <c r="V47" s="1">
        <v>37</v>
      </c>
      <c r="W47" s="1" t="s">
        <v>36</v>
      </c>
      <c r="X47" s="1"/>
      <c r="Y47" s="3"/>
    </row>
    <row r="48" spans="1:25" ht="14.4" customHeight="1" x14ac:dyDescent="0.3">
      <c r="A48" s="1">
        <v>38</v>
      </c>
      <c r="B48" s="1" t="s">
        <v>36</v>
      </c>
      <c r="C48" s="1" t="s">
        <v>35</v>
      </c>
      <c r="D48" s="1"/>
      <c r="E48" s="2"/>
      <c r="H48" s="1">
        <v>38</v>
      </c>
      <c r="I48" s="1" t="s">
        <v>36</v>
      </c>
      <c r="J48" s="5" t="s">
        <v>35</v>
      </c>
      <c r="K48" s="1"/>
      <c r="L48" s="2"/>
      <c r="O48" s="1">
        <v>38</v>
      </c>
      <c r="P48" s="1" t="s">
        <v>36</v>
      </c>
      <c r="Q48" s="1" t="s">
        <v>35</v>
      </c>
      <c r="R48" s="1"/>
      <c r="S48" s="3"/>
      <c r="V48" s="1">
        <v>38</v>
      </c>
      <c r="W48" s="1" t="s">
        <v>36</v>
      </c>
      <c r="X48" s="1"/>
      <c r="Y48" s="3"/>
    </row>
    <row r="49" spans="1:25" ht="14.4" customHeight="1" x14ac:dyDescent="0.3">
      <c r="A49" s="1">
        <v>39</v>
      </c>
      <c r="B49" s="1" t="s">
        <v>36</v>
      </c>
      <c r="C49" s="1" t="s">
        <v>35</v>
      </c>
      <c r="D49" s="1"/>
      <c r="E49" s="2"/>
      <c r="H49" s="1">
        <v>39</v>
      </c>
      <c r="I49" s="1" t="s">
        <v>36</v>
      </c>
      <c r="J49" s="5" t="s">
        <v>35</v>
      </c>
      <c r="K49" s="1"/>
      <c r="L49" s="2"/>
      <c r="O49" s="1">
        <v>39</v>
      </c>
      <c r="P49" s="1" t="s">
        <v>36</v>
      </c>
      <c r="Q49" s="1" t="s">
        <v>35</v>
      </c>
      <c r="R49" s="1"/>
      <c r="S49" s="3"/>
      <c r="V49" s="1">
        <v>39</v>
      </c>
      <c r="W49" s="1" t="s">
        <v>36</v>
      </c>
      <c r="X49" s="1"/>
      <c r="Y49" s="3"/>
    </row>
    <row r="50" spans="1:25" ht="14.4" customHeight="1" x14ac:dyDescent="0.3">
      <c r="A50" s="1">
        <v>40</v>
      </c>
      <c r="B50" s="1" t="s">
        <v>36</v>
      </c>
      <c r="C50" s="1" t="s">
        <v>35</v>
      </c>
      <c r="D50" s="1"/>
      <c r="E50" s="2"/>
      <c r="H50" s="1">
        <v>40</v>
      </c>
      <c r="I50" s="1" t="s">
        <v>36</v>
      </c>
      <c r="J50" s="5" t="s">
        <v>35</v>
      </c>
      <c r="K50" s="1"/>
      <c r="L50" s="2"/>
      <c r="O50" s="1">
        <v>40</v>
      </c>
      <c r="P50" s="1" t="s">
        <v>36</v>
      </c>
      <c r="Q50" s="1" t="s">
        <v>35</v>
      </c>
      <c r="R50" s="1"/>
      <c r="S50" s="3"/>
      <c r="V50" s="1">
        <v>40</v>
      </c>
      <c r="W50" s="1" t="s">
        <v>36</v>
      </c>
      <c r="X50" s="1"/>
      <c r="Y50" s="3"/>
    </row>
    <row r="51" spans="1:25" ht="14.4" customHeight="1" x14ac:dyDescent="0.3">
      <c r="A51" s="1">
        <v>41</v>
      </c>
      <c r="B51" s="1" t="s">
        <v>36</v>
      </c>
      <c r="C51" s="1" t="s">
        <v>35</v>
      </c>
      <c r="D51" s="1"/>
      <c r="E51" s="2"/>
      <c r="H51" s="1">
        <v>41</v>
      </c>
      <c r="I51" s="1" t="s">
        <v>36</v>
      </c>
      <c r="J51" s="5" t="s">
        <v>35</v>
      </c>
      <c r="K51" s="1"/>
      <c r="L51" s="2"/>
      <c r="O51" s="1">
        <v>41</v>
      </c>
      <c r="P51" s="1" t="s">
        <v>36</v>
      </c>
      <c r="Q51" s="1" t="s">
        <v>35</v>
      </c>
      <c r="R51" s="1"/>
      <c r="S51" s="3"/>
      <c r="V51" s="1">
        <v>41</v>
      </c>
      <c r="W51" s="1" t="s">
        <v>36</v>
      </c>
      <c r="X51" s="1"/>
      <c r="Y51" s="3"/>
    </row>
    <row r="52" spans="1:25" ht="14.4" customHeight="1" x14ac:dyDescent="0.3">
      <c r="A52" s="1">
        <v>42</v>
      </c>
      <c r="B52" s="1" t="s">
        <v>36</v>
      </c>
      <c r="C52" s="1" t="s">
        <v>35</v>
      </c>
      <c r="D52" s="1"/>
      <c r="E52" s="2"/>
      <c r="H52" s="1">
        <v>42</v>
      </c>
      <c r="I52" s="1" t="s">
        <v>36</v>
      </c>
      <c r="J52" s="5" t="s">
        <v>35</v>
      </c>
      <c r="K52" s="1"/>
      <c r="L52" s="2"/>
      <c r="O52" s="1">
        <v>42</v>
      </c>
      <c r="P52" s="1" t="s">
        <v>36</v>
      </c>
      <c r="Q52" s="1" t="s">
        <v>35</v>
      </c>
      <c r="R52" s="1"/>
      <c r="S52" s="3"/>
      <c r="V52" s="1">
        <v>42</v>
      </c>
      <c r="W52" s="1" t="s">
        <v>36</v>
      </c>
      <c r="X52" s="1"/>
      <c r="Y52" s="3"/>
    </row>
    <row r="53" spans="1:25" ht="14.4" customHeight="1" x14ac:dyDescent="0.3">
      <c r="A53" s="1">
        <v>43</v>
      </c>
      <c r="B53" s="1" t="s">
        <v>36</v>
      </c>
      <c r="C53" s="1" t="s">
        <v>35</v>
      </c>
      <c r="D53" s="1"/>
      <c r="E53" s="2"/>
      <c r="H53" s="1">
        <v>43</v>
      </c>
      <c r="I53" s="1" t="s">
        <v>36</v>
      </c>
      <c r="J53" s="5" t="s">
        <v>35</v>
      </c>
      <c r="K53" s="1"/>
      <c r="L53" s="2"/>
      <c r="O53" s="1">
        <v>43</v>
      </c>
      <c r="P53" s="1" t="s">
        <v>36</v>
      </c>
      <c r="Q53" s="1" t="s">
        <v>35</v>
      </c>
      <c r="R53" s="1"/>
      <c r="S53" s="3"/>
      <c r="V53" s="1">
        <v>43</v>
      </c>
      <c r="W53" s="1" t="s">
        <v>36</v>
      </c>
      <c r="X53" s="1"/>
      <c r="Y53" s="3"/>
    </row>
    <row r="54" spans="1:25" ht="14.4" customHeight="1" x14ac:dyDescent="0.3">
      <c r="A54" s="1">
        <v>44</v>
      </c>
      <c r="B54" s="1" t="s">
        <v>36</v>
      </c>
      <c r="C54" s="1" t="s">
        <v>35</v>
      </c>
      <c r="D54" s="1"/>
      <c r="E54" s="2"/>
      <c r="H54" s="1">
        <v>44</v>
      </c>
      <c r="I54" s="1" t="s">
        <v>36</v>
      </c>
      <c r="J54" s="5" t="s">
        <v>35</v>
      </c>
      <c r="K54" s="1"/>
      <c r="L54" s="2"/>
      <c r="O54" s="1">
        <v>44</v>
      </c>
      <c r="P54" s="1" t="s">
        <v>36</v>
      </c>
      <c r="Q54" s="1" t="s">
        <v>35</v>
      </c>
      <c r="R54" s="1"/>
      <c r="S54" s="3"/>
      <c r="V54" s="1">
        <v>44</v>
      </c>
      <c r="W54" s="1" t="s">
        <v>36</v>
      </c>
      <c r="X54" s="1"/>
      <c r="Y54" s="3"/>
    </row>
    <row r="55" spans="1:25" ht="14.4" customHeight="1" x14ac:dyDescent="0.3">
      <c r="A55" s="1">
        <v>45</v>
      </c>
      <c r="B55" s="1" t="s">
        <v>36</v>
      </c>
      <c r="C55" s="1" t="s">
        <v>35</v>
      </c>
      <c r="D55" s="1"/>
      <c r="E55" s="2"/>
      <c r="H55" s="1">
        <v>45</v>
      </c>
      <c r="I55" s="1" t="s">
        <v>36</v>
      </c>
      <c r="J55" s="5" t="s">
        <v>35</v>
      </c>
      <c r="K55" s="1"/>
      <c r="L55" s="2"/>
      <c r="O55" s="1">
        <v>45</v>
      </c>
      <c r="P55" s="1" t="s">
        <v>36</v>
      </c>
      <c r="Q55" s="1" t="s">
        <v>35</v>
      </c>
      <c r="R55" s="1"/>
      <c r="S55" s="3"/>
      <c r="V55" s="1">
        <v>45</v>
      </c>
      <c r="W55" s="1" t="s">
        <v>36</v>
      </c>
      <c r="X55" s="1"/>
      <c r="Y55" s="3"/>
    </row>
    <row r="56" spans="1:25" ht="14.4" customHeight="1" x14ac:dyDescent="0.3">
      <c r="A56" s="1">
        <v>46</v>
      </c>
      <c r="B56" s="1" t="s">
        <v>36</v>
      </c>
      <c r="C56" s="1" t="s">
        <v>35</v>
      </c>
      <c r="D56" s="1"/>
      <c r="E56" s="2"/>
      <c r="H56" s="1">
        <v>46</v>
      </c>
      <c r="I56" s="1" t="s">
        <v>36</v>
      </c>
      <c r="J56" s="5" t="s">
        <v>35</v>
      </c>
      <c r="K56" s="1"/>
      <c r="L56" s="2"/>
      <c r="O56" s="1">
        <v>46</v>
      </c>
      <c r="P56" s="1" t="s">
        <v>36</v>
      </c>
      <c r="Q56" s="1" t="s">
        <v>35</v>
      </c>
      <c r="R56" s="1"/>
      <c r="S56" s="3"/>
      <c r="V56" s="1">
        <v>46</v>
      </c>
      <c r="W56" s="1" t="s">
        <v>36</v>
      </c>
      <c r="X56" s="1"/>
      <c r="Y56" s="3"/>
    </row>
    <row r="57" spans="1:25" ht="14.4" customHeight="1" x14ac:dyDescent="0.3">
      <c r="A57" s="1">
        <v>47</v>
      </c>
      <c r="B57" s="1" t="s">
        <v>36</v>
      </c>
      <c r="C57" s="1" t="s">
        <v>35</v>
      </c>
      <c r="D57" s="1"/>
      <c r="E57" s="2"/>
      <c r="H57" s="1">
        <v>47</v>
      </c>
      <c r="I57" s="1" t="s">
        <v>36</v>
      </c>
      <c r="J57" s="5" t="s">
        <v>35</v>
      </c>
      <c r="K57" s="1"/>
      <c r="L57" s="2"/>
      <c r="O57" s="1">
        <v>47</v>
      </c>
      <c r="P57" s="1" t="s">
        <v>36</v>
      </c>
      <c r="Q57" s="1" t="s">
        <v>35</v>
      </c>
      <c r="R57" s="1"/>
      <c r="S57" s="3"/>
      <c r="V57" s="1">
        <v>47</v>
      </c>
      <c r="W57" s="1" t="s">
        <v>36</v>
      </c>
      <c r="X57" s="1"/>
      <c r="Y57" s="3"/>
    </row>
    <row r="58" spans="1:25" ht="14.4" customHeight="1" x14ac:dyDescent="0.3">
      <c r="A58" s="1">
        <v>48</v>
      </c>
      <c r="B58" s="1" t="s">
        <v>36</v>
      </c>
      <c r="C58" s="1" t="s">
        <v>35</v>
      </c>
      <c r="D58" s="1"/>
      <c r="E58" s="2"/>
      <c r="H58" s="1">
        <v>48</v>
      </c>
      <c r="I58" s="1" t="s">
        <v>36</v>
      </c>
      <c r="J58" s="5" t="s">
        <v>35</v>
      </c>
      <c r="K58" s="1"/>
      <c r="L58" s="2"/>
      <c r="O58" s="1">
        <v>48</v>
      </c>
      <c r="P58" s="1" t="s">
        <v>36</v>
      </c>
      <c r="Q58" s="1" t="s">
        <v>35</v>
      </c>
      <c r="R58" s="1"/>
      <c r="S58" s="3"/>
      <c r="V58" s="1">
        <v>48</v>
      </c>
      <c r="W58" s="1" t="s">
        <v>36</v>
      </c>
      <c r="X58" s="1"/>
      <c r="Y58" s="3"/>
    </row>
    <row r="59" spans="1:25" ht="14.4" customHeight="1" x14ac:dyDescent="0.3">
      <c r="A59" s="1">
        <v>49</v>
      </c>
      <c r="B59" s="1" t="s">
        <v>36</v>
      </c>
      <c r="C59" s="1" t="s">
        <v>35</v>
      </c>
      <c r="D59" s="1"/>
      <c r="E59" s="2"/>
      <c r="H59" s="1">
        <v>49</v>
      </c>
      <c r="I59" s="1" t="s">
        <v>36</v>
      </c>
      <c r="J59" s="5" t="s">
        <v>35</v>
      </c>
      <c r="K59" s="1"/>
      <c r="L59" s="2"/>
      <c r="O59" s="1">
        <v>49</v>
      </c>
      <c r="P59" s="1" t="s">
        <v>36</v>
      </c>
      <c r="Q59" s="1" t="s">
        <v>35</v>
      </c>
      <c r="R59" s="1"/>
      <c r="S59" s="3"/>
      <c r="V59" s="1">
        <v>49</v>
      </c>
      <c r="W59" s="1" t="s">
        <v>36</v>
      </c>
      <c r="X59" s="1"/>
      <c r="Y59" s="3"/>
    </row>
    <row r="60" spans="1:25" ht="14.4" customHeight="1" x14ac:dyDescent="0.3">
      <c r="A60" s="1">
        <v>50</v>
      </c>
      <c r="B60" s="1" t="s">
        <v>36</v>
      </c>
      <c r="C60" s="1" t="s">
        <v>35</v>
      </c>
      <c r="D60" s="1"/>
      <c r="E60" s="2"/>
      <c r="H60" s="1">
        <v>50</v>
      </c>
      <c r="I60" s="1" t="s">
        <v>36</v>
      </c>
      <c r="J60" s="5" t="s">
        <v>35</v>
      </c>
      <c r="K60" s="1"/>
      <c r="L60" s="2"/>
      <c r="O60" s="1">
        <v>50</v>
      </c>
      <c r="P60" s="1" t="s">
        <v>36</v>
      </c>
      <c r="Q60" s="1" t="s">
        <v>35</v>
      </c>
      <c r="R60" s="1"/>
      <c r="S60" s="3"/>
      <c r="V60" s="1">
        <v>50</v>
      </c>
      <c r="W60" s="1" t="s">
        <v>36</v>
      </c>
      <c r="X60" s="1"/>
      <c r="Y60" s="3"/>
    </row>
    <row r="61" spans="1:25" ht="14.4" customHeight="1" x14ac:dyDescent="0.3">
      <c r="A61" s="1">
        <v>51</v>
      </c>
      <c r="B61" s="1" t="s">
        <v>36</v>
      </c>
      <c r="C61" s="1" t="s">
        <v>35</v>
      </c>
      <c r="D61" s="1"/>
      <c r="E61" s="2"/>
      <c r="H61" s="1">
        <v>51</v>
      </c>
      <c r="I61" s="1" t="s">
        <v>36</v>
      </c>
      <c r="J61" s="5" t="s">
        <v>35</v>
      </c>
      <c r="K61" s="1"/>
      <c r="L61" s="2"/>
      <c r="O61" s="1">
        <v>51</v>
      </c>
      <c r="P61" s="1" t="s">
        <v>36</v>
      </c>
      <c r="Q61" s="1" t="s">
        <v>35</v>
      </c>
      <c r="R61" s="1"/>
      <c r="S61" s="3"/>
      <c r="V61" s="1">
        <v>51</v>
      </c>
      <c r="W61" s="1" t="s">
        <v>36</v>
      </c>
      <c r="X61" s="1"/>
      <c r="Y61" s="3"/>
    </row>
    <row r="62" spans="1:25" ht="14.4" customHeight="1" x14ac:dyDescent="0.3">
      <c r="A62" s="1">
        <v>52</v>
      </c>
      <c r="B62" s="1" t="s">
        <v>36</v>
      </c>
      <c r="C62" s="1" t="s">
        <v>35</v>
      </c>
      <c r="D62" s="1"/>
      <c r="E62" s="2"/>
      <c r="H62" s="1">
        <v>52</v>
      </c>
      <c r="I62" s="1" t="s">
        <v>36</v>
      </c>
      <c r="J62" s="5" t="s">
        <v>35</v>
      </c>
      <c r="K62" s="1"/>
      <c r="L62" s="2"/>
      <c r="O62" s="1">
        <v>52</v>
      </c>
      <c r="P62" s="1" t="s">
        <v>36</v>
      </c>
      <c r="Q62" s="1" t="s">
        <v>35</v>
      </c>
      <c r="R62" s="1"/>
      <c r="S62" s="3"/>
      <c r="V62" s="1">
        <v>52</v>
      </c>
      <c r="W62" s="1" t="s">
        <v>36</v>
      </c>
      <c r="X62" s="1"/>
      <c r="Y62" s="3"/>
    </row>
    <row r="63" spans="1:25" ht="14.4" customHeight="1" x14ac:dyDescent="0.3">
      <c r="A63" s="1">
        <v>53</v>
      </c>
      <c r="B63" s="1" t="s">
        <v>36</v>
      </c>
      <c r="C63" s="1" t="s">
        <v>35</v>
      </c>
      <c r="D63" s="1"/>
      <c r="E63" s="2"/>
      <c r="H63" s="1">
        <v>53</v>
      </c>
      <c r="I63" s="1" t="s">
        <v>36</v>
      </c>
      <c r="J63" s="5" t="s">
        <v>35</v>
      </c>
      <c r="K63" s="1"/>
      <c r="L63" s="2"/>
      <c r="O63" s="1">
        <v>53</v>
      </c>
      <c r="P63" s="1" t="s">
        <v>36</v>
      </c>
      <c r="Q63" s="1" t="s">
        <v>35</v>
      </c>
      <c r="R63" s="1"/>
      <c r="S63" s="3"/>
      <c r="V63" s="1">
        <v>53</v>
      </c>
      <c r="W63" s="1" t="s">
        <v>36</v>
      </c>
      <c r="X63" s="1"/>
      <c r="Y63" s="3"/>
    </row>
    <row r="64" spans="1:25" ht="14.4" customHeight="1" x14ac:dyDescent="0.3">
      <c r="A64" s="1">
        <v>54</v>
      </c>
      <c r="B64" s="1" t="s">
        <v>36</v>
      </c>
      <c r="C64" s="1" t="s">
        <v>35</v>
      </c>
      <c r="D64" s="1"/>
      <c r="E64" s="2"/>
      <c r="H64" s="1">
        <v>54</v>
      </c>
      <c r="I64" s="1" t="s">
        <v>36</v>
      </c>
      <c r="J64" s="5" t="s">
        <v>35</v>
      </c>
      <c r="K64" s="1"/>
      <c r="L64" s="2"/>
      <c r="O64" s="1">
        <v>54</v>
      </c>
      <c r="P64" s="1" t="s">
        <v>36</v>
      </c>
      <c r="Q64" s="1" t="s">
        <v>35</v>
      </c>
      <c r="R64" s="1"/>
      <c r="S64" s="3"/>
      <c r="V64" s="1">
        <v>54</v>
      </c>
      <c r="W64" s="1" t="s">
        <v>36</v>
      </c>
      <c r="X64" s="1"/>
      <c r="Y64" s="3"/>
    </row>
    <row r="65" spans="1:25" ht="14.4" customHeight="1" x14ac:dyDescent="0.3">
      <c r="A65" s="1">
        <v>55</v>
      </c>
      <c r="B65" s="1" t="s">
        <v>36</v>
      </c>
      <c r="C65" s="1" t="s">
        <v>35</v>
      </c>
      <c r="D65" s="1"/>
      <c r="E65" s="2"/>
      <c r="H65" s="1">
        <v>55</v>
      </c>
      <c r="I65" s="1" t="s">
        <v>36</v>
      </c>
      <c r="J65" s="5" t="s">
        <v>35</v>
      </c>
      <c r="K65" s="1"/>
      <c r="L65" s="2"/>
      <c r="O65" s="1">
        <v>55</v>
      </c>
      <c r="P65" s="1" t="s">
        <v>36</v>
      </c>
      <c r="Q65" s="1" t="s">
        <v>35</v>
      </c>
      <c r="R65" s="1"/>
      <c r="S65" s="3"/>
      <c r="V65" s="1">
        <v>55</v>
      </c>
      <c r="W65" s="1" t="s">
        <v>36</v>
      </c>
      <c r="X65" s="1"/>
      <c r="Y65" s="3"/>
    </row>
    <row r="66" spans="1:25" ht="14.4" customHeight="1" x14ac:dyDescent="0.3">
      <c r="A66" s="1">
        <v>56</v>
      </c>
      <c r="B66" s="1" t="s">
        <v>36</v>
      </c>
      <c r="C66" s="1" t="s">
        <v>35</v>
      </c>
      <c r="D66" s="1"/>
      <c r="E66" s="2"/>
      <c r="H66" s="1">
        <v>56</v>
      </c>
      <c r="I66" s="1" t="s">
        <v>36</v>
      </c>
      <c r="J66" s="5" t="s">
        <v>35</v>
      </c>
      <c r="K66" s="1"/>
      <c r="L66" s="2"/>
      <c r="O66" s="1">
        <v>56</v>
      </c>
      <c r="P66" s="1" t="s">
        <v>36</v>
      </c>
      <c r="Q66" s="1" t="s">
        <v>35</v>
      </c>
      <c r="R66" s="1"/>
      <c r="S66" s="3"/>
      <c r="V66" s="1">
        <v>56</v>
      </c>
      <c r="W66" s="1" t="s">
        <v>36</v>
      </c>
      <c r="X66" s="1"/>
      <c r="Y66" s="3"/>
    </row>
    <row r="67" spans="1:25" ht="14.4" customHeight="1" x14ac:dyDescent="0.3">
      <c r="A67" s="1">
        <v>57</v>
      </c>
      <c r="B67" s="1" t="s">
        <v>36</v>
      </c>
      <c r="C67" s="1" t="s">
        <v>35</v>
      </c>
      <c r="D67" s="1"/>
      <c r="E67" s="2"/>
      <c r="H67" s="1">
        <v>57</v>
      </c>
      <c r="I67" s="1" t="s">
        <v>36</v>
      </c>
      <c r="J67" s="5" t="s">
        <v>35</v>
      </c>
      <c r="K67" s="1"/>
      <c r="L67" s="2"/>
      <c r="O67" s="1">
        <v>57</v>
      </c>
      <c r="P67" s="1" t="s">
        <v>36</v>
      </c>
      <c r="Q67" s="1" t="s">
        <v>35</v>
      </c>
      <c r="R67" s="1"/>
      <c r="S67" s="3"/>
      <c r="V67" s="1">
        <v>57</v>
      </c>
      <c r="W67" s="1" t="s">
        <v>36</v>
      </c>
      <c r="X67" s="1"/>
      <c r="Y67" s="3"/>
    </row>
    <row r="68" spans="1:25" ht="14.4" customHeight="1" x14ac:dyDescent="0.3">
      <c r="A68" s="1">
        <v>58</v>
      </c>
      <c r="B68" s="1" t="s">
        <v>36</v>
      </c>
      <c r="C68" s="1" t="s">
        <v>35</v>
      </c>
      <c r="D68" s="1"/>
      <c r="E68" s="2"/>
      <c r="H68" s="1">
        <v>58</v>
      </c>
      <c r="I68" s="1" t="s">
        <v>36</v>
      </c>
      <c r="J68" s="5" t="s">
        <v>35</v>
      </c>
      <c r="K68" s="1"/>
      <c r="L68" s="2"/>
      <c r="O68" s="1">
        <v>58</v>
      </c>
      <c r="P68" s="1" t="s">
        <v>36</v>
      </c>
      <c r="Q68" s="1" t="s">
        <v>35</v>
      </c>
      <c r="R68" s="1"/>
      <c r="S68" s="3"/>
      <c r="V68" s="1">
        <v>58</v>
      </c>
      <c r="W68" s="1" t="s">
        <v>36</v>
      </c>
      <c r="X68" s="1"/>
      <c r="Y68" s="3"/>
    </row>
    <row r="69" spans="1:25" ht="14.4" customHeight="1" x14ac:dyDescent="0.3">
      <c r="A69" s="1">
        <v>59</v>
      </c>
      <c r="B69" s="1" t="s">
        <v>36</v>
      </c>
      <c r="C69" s="1" t="s">
        <v>35</v>
      </c>
      <c r="D69" s="1"/>
      <c r="E69" s="2"/>
      <c r="H69" s="1">
        <v>59</v>
      </c>
      <c r="I69" s="1" t="s">
        <v>36</v>
      </c>
      <c r="J69" s="5" t="s">
        <v>35</v>
      </c>
      <c r="K69" s="1"/>
      <c r="L69" s="2"/>
      <c r="O69" s="1">
        <v>59</v>
      </c>
      <c r="P69" s="1" t="s">
        <v>36</v>
      </c>
      <c r="Q69" s="1" t="s">
        <v>35</v>
      </c>
      <c r="R69" s="1"/>
      <c r="S69" s="3"/>
      <c r="V69" s="1">
        <v>59</v>
      </c>
      <c r="W69" s="1" t="s">
        <v>36</v>
      </c>
      <c r="X69" s="1"/>
      <c r="Y69" s="3"/>
    </row>
    <row r="70" spans="1:25" ht="14.4" customHeight="1" x14ac:dyDescent="0.3">
      <c r="A70" s="1">
        <v>60</v>
      </c>
      <c r="B70" s="1" t="s">
        <v>36</v>
      </c>
      <c r="C70" s="1" t="s">
        <v>35</v>
      </c>
      <c r="D70" s="1"/>
      <c r="E70" s="2"/>
      <c r="H70" s="1">
        <v>60</v>
      </c>
      <c r="I70" s="1" t="s">
        <v>36</v>
      </c>
      <c r="J70" s="5" t="s">
        <v>35</v>
      </c>
      <c r="K70" s="1"/>
      <c r="L70" s="2"/>
      <c r="O70" s="1">
        <v>60</v>
      </c>
      <c r="P70" s="1" t="s">
        <v>36</v>
      </c>
      <c r="Q70" s="1" t="s">
        <v>35</v>
      </c>
      <c r="R70" s="1"/>
      <c r="S70" s="3"/>
      <c r="V70" s="1">
        <v>60</v>
      </c>
      <c r="W70" s="1" t="s">
        <v>36</v>
      </c>
      <c r="X70" s="1"/>
      <c r="Y70" s="3"/>
    </row>
    <row r="73" spans="1:25" ht="14.4" customHeight="1" x14ac:dyDescent="0.3">
      <c r="A73" s="22" t="s">
        <v>7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</row>
    <row r="74" spans="1:25" ht="14.4" customHeight="1" x14ac:dyDescent="0.3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7"/>
    </row>
    <row r="76" spans="1:25" ht="14.4" customHeight="1" x14ac:dyDescent="0.3">
      <c r="B76" s="41" t="s">
        <v>9</v>
      </c>
      <c r="C76" s="41"/>
      <c r="D76" s="41"/>
      <c r="E76" s="41"/>
      <c r="F76" s="41"/>
      <c r="I76" s="35" t="s">
        <v>21</v>
      </c>
      <c r="J76" s="36"/>
      <c r="K76" s="36"/>
      <c r="L76" s="36"/>
      <c r="M76" s="36"/>
      <c r="N76" s="36"/>
      <c r="O76" s="36"/>
      <c r="P76" s="37"/>
      <c r="R76" s="41" t="s">
        <v>20</v>
      </c>
      <c r="S76" s="41"/>
      <c r="T76" s="41"/>
      <c r="U76" s="41"/>
      <c r="V76" s="41"/>
      <c r="W76" s="41"/>
    </row>
    <row r="77" spans="1:25" ht="14.4" customHeight="1" x14ac:dyDescent="0.3">
      <c r="B77" s="41"/>
      <c r="C77" s="41"/>
      <c r="D77" s="41"/>
      <c r="E77" s="41"/>
      <c r="F77" s="41"/>
      <c r="I77" s="38"/>
      <c r="J77" s="39"/>
      <c r="K77" s="39"/>
      <c r="L77" s="39"/>
      <c r="M77" s="39"/>
      <c r="N77" s="39"/>
      <c r="O77" s="39"/>
      <c r="P77" s="40"/>
      <c r="R77" s="41"/>
      <c r="S77" s="41"/>
      <c r="T77" s="41"/>
      <c r="U77" s="41"/>
      <c r="V77" s="41"/>
      <c r="W77" s="41"/>
    </row>
    <row r="79" spans="1:25" ht="14.4" customHeight="1" x14ac:dyDescent="0.3">
      <c r="C79" s="20" t="s">
        <v>8</v>
      </c>
      <c r="D79" s="21"/>
      <c r="I79" s="15" t="s">
        <v>11</v>
      </c>
      <c r="J79" s="16"/>
      <c r="L79" s="20" t="s">
        <v>17</v>
      </c>
      <c r="M79" s="21"/>
      <c r="P79" s="6" t="s">
        <v>18</v>
      </c>
      <c r="S79" s="20" t="s">
        <v>8</v>
      </c>
      <c r="T79" s="21"/>
    </row>
    <row r="80" spans="1:25" ht="14.4" customHeight="1" x14ac:dyDescent="0.3">
      <c r="C80" s="18"/>
      <c r="D80" s="19"/>
      <c r="I80" s="5" t="s">
        <v>12</v>
      </c>
      <c r="J80" s="7">
        <f>SUMIFS($E$11:$E$70, $D$11:$D$70, "&gt;="&amp;B116, $D$11:$D$70, "&lt;="&amp;D116)
+ SUMIFS($L$11:$L$70, $K$11:$K$70, "&gt;="&amp;B116, $K$11:$K$70, "&lt;="&amp;D116)
+ SUMIFS($S$11:$S$70, $R$11:$R$70, "&gt;="&amp;B116, $R$11:$R$70, "&lt;="&amp;D116)
+ SUMIFS($Y$11:$Y$70, $X$11:$X$70, "&gt;="&amp;B116, $X$11:$X$70, "&lt;="&amp;D116)</f>
        <v>0</v>
      </c>
      <c r="L80" s="5" t="s">
        <v>9</v>
      </c>
      <c r="M80" s="8">
        <f ca="1" xml:space="preserve"> C83 / (DAY(EOMONTH(TODAY(),0)) - DAY(TODAY()) + 1)</f>
        <v>0</v>
      </c>
      <c r="P80" s="5">
        <f ca="1">DAY(EOMONTH(TODAY(),0)) - DAY(TODAY()) + 1</f>
        <v>1</v>
      </c>
      <c r="S80" s="18"/>
      <c r="T80" s="19"/>
    </row>
    <row r="81" spans="2:20" ht="14.4" customHeight="1" x14ac:dyDescent="0.3">
      <c r="C81" s="11"/>
      <c r="D81" s="11"/>
      <c r="I81" s="5" t="s">
        <v>13</v>
      </c>
      <c r="J81" s="7">
        <f>SUMIFS($E$11:$E$70, $D$11:$D$70, "&gt;="&amp;B117, $D$11:$D$70, "&lt;="&amp;D117)
+ SUMIFS($L$11:$L$70, $K$11:$K$70, "&gt;="&amp;B117, $K$11:$K$70, "&lt;="&amp;D117)
+ SUMIFS($S$11:$S$70, $R$11:$R$70, "&gt;="&amp;B117, $R$11:$R$70, "&lt;="&amp;D117)
+ SUMIFS($Y$11:$Y$70, $X$11:$X$70, "&gt;="&amp;B117, $X$11:$X$70, "&lt;="&amp;D117)</f>
        <v>0</v>
      </c>
      <c r="L81" s="5" t="s">
        <v>6</v>
      </c>
      <c r="M81" s="8">
        <f ca="1" xml:space="preserve"> S83 / (DAY(EOMONTH(TODAY(),0)) - DAY(TODAY()) + 1)</f>
        <v>0</v>
      </c>
    </row>
    <row r="82" spans="2:20" ht="14.4" customHeight="1" x14ac:dyDescent="0.3">
      <c r="C82" s="20" t="s">
        <v>10</v>
      </c>
      <c r="D82" s="21"/>
      <c r="I82" s="5" t="s">
        <v>14</v>
      </c>
      <c r="J82" s="7">
        <f>SUMIFS($E$11:$E$70, $D$11:$D$70, "&gt;="&amp;B118, $D$11:$D$70, "&lt;="&amp;D118)
+ SUMIFS($L$11:$L$70, $K$11:$K$70, "&gt;="&amp;B118, $K$11:$K$70, "&lt;="&amp;D118)
+ SUMIFS($S$11:$S$70, $R$11:$R$70, "&gt;="&amp;B118, $R$11:$R$70, "&lt;="&amp;D118)
+ SUMIFS($Y$11:$Y$70, $X$11:$X$70, "&gt;="&amp;B118, $X$11:$X$70, "&lt;="&amp;D118)</f>
        <v>0</v>
      </c>
      <c r="S82" s="28" t="s">
        <v>10</v>
      </c>
      <c r="T82" s="28"/>
    </row>
    <row r="83" spans="2:20" ht="14.4" customHeight="1" x14ac:dyDescent="0.3">
      <c r="C83" s="18">
        <f>C80-F11-M11</f>
        <v>0</v>
      </c>
      <c r="D83" s="19"/>
      <c r="I83" s="5" t="s">
        <v>15</v>
      </c>
      <c r="J83" s="7">
        <f>SUMIFS($E$11:$E$70, $D$11:$D$70, "&gt;="&amp;B119, $D$11:$D$70, "&lt;="&amp;D119)
+ SUMIFS($L$11:$L$70, $K$11:$K$70, "&gt;="&amp;B119, $K$11:$K$70, "&lt;="&amp;D119)
+ SUMIFS($S$11:$S$70, $R$11:$R$70, "&gt;="&amp;B119, $R$11:$R$70, "&lt;="&amp;D119)
+ SUMIFS($Y$11:$Y$70, $X$11:$X$70, "&gt;="&amp;B119, $X$11:$X$70, "&lt;="&amp;D119)</f>
        <v>0</v>
      </c>
      <c r="S83" s="45">
        <f>S80-T11-Z11</f>
        <v>0</v>
      </c>
      <c r="T83" s="45"/>
    </row>
    <row r="84" spans="2:20" ht="14.4" customHeight="1" x14ac:dyDescent="0.3">
      <c r="I84" s="5" t="s">
        <v>16</v>
      </c>
      <c r="J84" s="7">
        <f>SUMIFS($E$11:$E$70, $D$11:$D$70, "&gt;="&amp;B120, $D$11:$D$70, "&lt;="&amp;D120)
+ SUMIFS($L$11:$L$70, $K$11:$K$70, "&gt;="&amp;B120, $K$11:$K$70, "&lt;="&amp;D120)
+ SUMIFS($S$11:$S$70, $R$11:$R$70, "&gt;="&amp;B120, $R$11:$R$70, "&lt;="&amp;D120)
+ SUMIFS($Y$11:$Y$70, $X$11:$X$70, "&gt;="&amp;B120, $X$11:$X$70, "&lt;="&amp;D120)</f>
        <v>0</v>
      </c>
    </row>
    <row r="90" spans="2:20" ht="14.4" customHeight="1" x14ac:dyDescent="0.3">
      <c r="S90" s="9">
        <f>T11</f>
        <v>0</v>
      </c>
    </row>
    <row r="91" spans="2:20" ht="14.4" customHeight="1" x14ac:dyDescent="0.3">
      <c r="B91" s="9">
        <f>F11</f>
        <v>0</v>
      </c>
      <c r="S91" s="9">
        <f>Z11</f>
        <v>0</v>
      </c>
    </row>
    <row r="92" spans="2:20" ht="14.4" customHeight="1" x14ac:dyDescent="0.3">
      <c r="B92" s="9">
        <f>M11</f>
        <v>0</v>
      </c>
      <c r="S92" s="9">
        <f>S83</f>
        <v>0</v>
      </c>
    </row>
    <row r="93" spans="2:20" ht="14.4" customHeight="1" x14ac:dyDescent="0.3">
      <c r="B93" s="9">
        <f>C83</f>
        <v>0</v>
      </c>
    </row>
    <row r="112" spans="1:5" ht="14.4" customHeight="1" x14ac:dyDescent="0.3">
      <c r="A112" s="29" t="s">
        <v>53</v>
      </c>
      <c r="B112" s="30"/>
      <c r="C112" s="30"/>
      <c r="D112" s="30"/>
      <c r="E112" s="31"/>
    </row>
    <row r="113" spans="1:5" ht="14.4" customHeight="1" x14ac:dyDescent="0.3">
      <c r="A113" s="32"/>
      <c r="B113" s="33"/>
      <c r="C113" s="33"/>
      <c r="D113" s="33"/>
      <c r="E113" s="34"/>
    </row>
    <row r="115" spans="1:5" ht="14.4" customHeight="1" x14ac:dyDescent="0.3">
      <c r="B115" s="14" t="s">
        <v>54</v>
      </c>
      <c r="D115" s="14" t="s">
        <v>55</v>
      </c>
    </row>
    <row r="116" spans="1:5" ht="14.4" customHeight="1" x14ac:dyDescent="0.3">
      <c r="B116" s="17">
        <v>45658</v>
      </c>
      <c r="D116" s="17">
        <v>45664</v>
      </c>
    </row>
    <row r="117" spans="1:5" ht="14.4" customHeight="1" x14ac:dyDescent="0.3">
      <c r="B117" s="17">
        <v>45665</v>
      </c>
      <c r="D117" s="17">
        <v>45671</v>
      </c>
    </row>
    <row r="118" spans="1:5" ht="14.4" customHeight="1" x14ac:dyDescent="0.3">
      <c r="B118" s="17">
        <v>45672</v>
      </c>
      <c r="D118" s="17">
        <v>45678</v>
      </c>
    </row>
    <row r="119" spans="1:5" ht="14.4" customHeight="1" x14ac:dyDescent="0.3">
      <c r="B119" s="17">
        <v>45679</v>
      </c>
      <c r="D119" s="5" t="s">
        <v>56</v>
      </c>
    </row>
    <row r="120" spans="1:5" ht="14.4" customHeight="1" x14ac:dyDescent="0.3">
      <c r="B120" s="17">
        <v>45686</v>
      </c>
      <c r="D120" s="17">
        <v>45688</v>
      </c>
    </row>
  </sheetData>
  <mergeCells count="21">
    <mergeCell ref="A112:E113"/>
    <mergeCell ref="L79:M79"/>
    <mergeCell ref="I76:P77"/>
    <mergeCell ref="R76:W77"/>
    <mergeCell ref="A1:Z3"/>
    <mergeCell ref="B76:F77"/>
    <mergeCell ref="A8:F9"/>
    <mergeCell ref="H8:M9"/>
    <mergeCell ref="O8:T9"/>
    <mergeCell ref="V8:Z9"/>
    <mergeCell ref="A5:M6"/>
    <mergeCell ref="O5:Z6"/>
    <mergeCell ref="S83:T83"/>
    <mergeCell ref="S79:T79"/>
    <mergeCell ref="S80:T80"/>
    <mergeCell ref="C79:D79"/>
    <mergeCell ref="C80:D80"/>
    <mergeCell ref="C83:D83"/>
    <mergeCell ref="C82:D82"/>
    <mergeCell ref="A73:W74"/>
    <mergeCell ref="S82:T82"/>
  </mergeCells>
  <conditionalFormatting sqref="B11:B70">
    <cfRule type="cellIs" dxfId="27" priority="40" operator="equal">
      <formula>"Makan Siang &amp; Malam"</formula>
    </cfRule>
    <cfRule type="cellIs" dxfId="26" priority="41" operator="equal">
      <formula>"Makan Malam"</formula>
    </cfRule>
    <cfRule type="cellIs" dxfId="25" priority="42" operator="equal">
      <formula>"Makan Siang"</formula>
    </cfRule>
    <cfRule type="cellIs" dxfId="24" priority="43" operator="equal">
      <formula>"Sarapan"</formula>
    </cfRule>
  </conditionalFormatting>
  <conditionalFormatting sqref="I11:I70">
    <cfRule type="cellIs" dxfId="23" priority="32" operator="equal">
      <formula>"Tokopedia"</formula>
    </cfRule>
    <cfRule type="cellIs" dxfId="22" priority="33" operator="equal">
      <formula>"Bluebird"</formula>
    </cfRule>
    <cfRule type="cellIs" dxfId="21" priority="34" operator="equal">
      <formula>"Gojek"</formula>
    </cfRule>
    <cfRule type="cellIs" dxfId="20" priority="35" operator="equal">
      <formula>"Telkomsel"</formula>
    </cfRule>
    <cfRule type="cellIs" dxfId="19" priority="36" operator="equal">
      <formula>"Laundry"</formula>
    </cfRule>
    <cfRule type="cellIs" dxfId="18" priority="37" operator="equal">
      <formula>"Superindo"</formula>
    </cfRule>
    <cfRule type="cellIs" dxfId="17" priority="38" operator="equal">
      <formula>"Indomaret"</formula>
    </cfRule>
    <cfRule type="cellIs" dxfId="16" priority="39" operator="equal">
      <formula>"Alfamart"</formula>
    </cfRule>
  </conditionalFormatting>
  <conditionalFormatting sqref="P11:P70">
    <cfRule type="cellIs" dxfId="15" priority="1" operator="equal">
      <formula>"Makan Siang &amp; Malam"</formula>
    </cfRule>
    <cfRule type="cellIs" dxfId="14" priority="2" operator="equal">
      <formula>"Makan Malam"</formula>
    </cfRule>
    <cfRule type="cellIs" dxfId="13" priority="3" operator="equal">
      <formula>"Makan Siang"</formula>
    </cfRule>
    <cfRule type="cellIs" dxfId="12" priority="4" operator="equal">
      <formula>"Sarapan"</formula>
    </cfRule>
  </conditionalFormatting>
  <conditionalFormatting sqref="P80">
    <cfRule type="cellIs" dxfId="11" priority="20" operator="lessThan">
      <formula>7</formula>
    </cfRule>
    <cfRule type="cellIs" dxfId="10" priority="21" operator="between">
      <formula>14</formula>
      <formula>6</formula>
    </cfRule>
    <cfRule type="cellIs" dxfId="9" priority="22" operator="between">
      <formula>20</formula>
      <formula>13</formula>
    </cfRule>
    <cfRule type="cellIs" dxfId="8" priority="23" operator="between">
      <formula>28</formula>
      <formula>20</formula>
    </cfRule>
    <cfRule type="cellIs" dxfId="7" priority="24" operator="greaterThan">
      <formula>28</formula>
    </cfRule>
  </conditionalFormatting>
  <conditionalFormatting sqref="W11:W70">
    <cfRule type="cellIs" dxfId="6" priority="13" operator="equal">
      <formula>"Cuci Motor"</formula>
    </cfRule>
    <cfRule type="cellIs" dxfId="5" priority="14" operator="equal">
      <formula>"Air Galon"</formula>
    </cfRule>
    <cfRule type="cellIs" dxfId="4" priority="15" operator="equal">
      <formula>"Infaq"</formula>
    </cfRule>
    <cfRule type="cellIs" dxfId="3" priority="16" operator="equal">
      <formula>"Jajan"</formula>
    </cfRule>
    <cfRule type="cellIs" dxfId="2" priority="17" operator="equal">
      <formula>"Kelapa Hijau"</formula>
    </cfRule>
    <cfRule type="cellIs" dxfId="1" priority="18" operator="equal">
      <formula>"Kelapa Muda"</formula>
    </cfRule>
    <cfRule type="cellIs" dxfId="0" priority="19" operator="equal">
      <formula>"Parkir"</formula>
    </cfRule>
  </conditionalFormatting>
  <dataValidations count="4">
    <dataValidation type="list" allowBlank="1" showInputMessage="1" showErrorMessage="1" sqref="C11:C70 J11:J70 Q11:Q70" xr:uid="{3A9F6705-06C0-4F4A-B872-C0C35E942507}">
      <formula1>INDIRECT(B11)</formula1>
    </dataValidation>
    <dataValidation type="list" showInputMessage="1" showErrorMessage="1" sqref="B11:B70 P11:P70" xr:uid="{BDD01BD0-D3BC-4B97-81C7-8467E433B26C}">
      <formula1>"Sarapan, Makan_Siang, Makan_Malam, Makan_Siang_Malam, N_A,"</formula1>
    </dataValidation>
    <dataValidation type="list" allowBlank="1" showInputMessage="1" showErrorMessage="1" sqref="W11:W70" xr:uid="{91892B86-90FF-4E0A-A19B-3023D5E24113}">
      <formula1>"Parkir, Kelapa Muda, Kelapa Hijau, Jajan, Infaq, Air Galon, Cuci Motor, N_A,"</formula1>
    </dataValidation>
    <dataValidation type="list" allowBlank="1" showInputMessage="1" showErrorMessage="1" sqref="I11:I70" xr:uid="{A83A965F-A041-4081-BD77-1A0EFE2609A7}">
      <formula1>"Alfamart, Indomaret, Superindo, Laundry, Telkomsel, Gojek, Bluebird, Tokopedia, N_A,"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CE6F-B3C3-4051-93FD-F9C2E14C2B61}">
  <dimension ref="A1:N24"/>
  <sheetViews>
    <sheetView workbookViewId="0">
      <selection activeCell="G17" sqref="G17"/>
    </sheetView>
  </sheetViews>
  <sheetFormatPr defaultColWidth="17.77734375" defaultRowHeight="14.4" x14ac:dyDescent="0.3"/>
  <cols>
    <col min="6" max="6" width="1.77734375" customWidth="1"/>
  </cols>
  <sheetData>
    <row r="1" spans="1:14" x14ac:dyDescent="0.3">
      <c r="A1" s="12" t="s">
        <v>23</v>
      </c>
      <c r="B1" s="12" t="s">
        <v>24</v>
      </c>
      <c r="C1" s="12" t="s">
        <v>25</v>
      </c>
      <c r="D1" s="12" t="s">
        <v>26</v>
      </c>
      <c r="E1" s="13" t="s">
        <v>35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</row>
    <row r="2" spans="1:14" x14ac:dyDescent="0.3">
      <c r="A2" s="1" t="s">
        <v>27</v>
      </c>
      <c r="B2" s="1" t="s">
        <v>27</v>
      </c>
      <c r="C2" s="1" t="s">
        <v>27</v>
      </c>
      <c r="D2" s="1" t="s">
        <v>30</v>
      </c>
      <c r="E2" s="1" t="s">
        <v>35</v>
      </c>
      <c r="G2" s="1" t="s">
        <v>45</v>
      </c>
      <c r="H2" s="1" t="s">
        <v>45</v>
      </c>
      <c r="I2" s="1" t="s">
        <v>45</v>
      </c>
      <c r="J2" s="1" t="s">
        <v>48</v>
      </c>
      <c r="K2" s="1" t="s">
        <v>49</v>
      </c>
      <c r="L2" s="1" t="s">
        <v>49</v>
      </c>
      <c r="M2" s="1" t="s">
        <v>50</v>
      </c>
      <c r="N2" s="1" t="s">
        <v>51</v>
      </c>
    </row>
    <row r="3" spans="1:14" x14ac:dyDescent="0.3">
      <c r="A3" s="1" t="s">
        <v>28</v>
      </c>
      <c r="B3" s="1" t="s">
        <v>30</v>
      </c>
      <c r="C3" s="1" t="s">
        <v>32</v>
      </c>
      <c r="D3" s="1" t="s">
        <v>33</v>
      </c>
      <c r="G3" s="1" t="s">
        <v>46</v>
      </c>
      <c r="H3" s="1" t="s">
        <v>46</v>
      </c>
      <c r="I3" s="1" t="s">
        <v>46</v>
      </c>
      <c r="J3" s="5"/>
      <c r="K3" s="5"/>
      <c r="L3" s="5"/>
      <c r="M3" s="5"/>
      <c r="N3" s="5"/>
    </row>
    <row r="4" spans="1:14" x14ac:dyDescent="0.3">
      <c r="A4" s="1" t="s">
        <v>34</v>
      </c>
      <c r="B4" s="1" t="s">
        <v>31</v>
      </c>
      <c r="C4" s="1" t="s">
        <v>34</v>
      </c>
      <c r="D4" s="1"/>
      <c r="G4" s="5" t="s">
        <v>52</v>
      </c>
      <c r="H4" s="5" t="s">
        <v>52</v>
      </c>
      <c r="I4" s="5" t="s">
        <v>47</v>
      </c>
      <c r="J4" s="5"/>
      <c r="K4" s="5"/>
      <c r="L4" s="5"/>
      <c r="M4" s="5"/>
      <c r="N4" s="5"/>
    </row>
    <row r="5" spans="1:14" x14ac:dyDescent="0.3">
      <c r="A5" s="1" t="s">
        <v>29</v>
      </c>
      <c r="B5" s="1" t="s">
        <v>34</v>
      </c>
      <c r="C5" s="1" t="s">
        <v>29</v>
      </c>
      <c r="D5" s="1"/>
    </row>
    <row r="6" spans="1:14" x14ac:dyDescent="0.3">
      <c r="A6" s="1"/>
      <c r="B6" s="1" t="s">
        <v>29</v>
      </c>
      <c r="C6" s="1"/>
      <c r="D6" s="1"/>
    </row>
    <row r="7" spans="1:14" x14ac:dyDescent="0.3">
      <c r="A7" s="1"/>
      <c r="B7" s="1"/>
      <c r="C7" s="1"/>
      <c r="D7" s="1"/>
    </row>
    <row r="19" spans="1:2" x14ac:dyDescent="0.3">
      <c r="A19" s="11" t="s">
        <v>0</v>
      </c>
      <c r="B19" s="11">
        <v>5</v>
      </c>
    </row>
    <row r="20" spans="1:2" x14ac:dyDescent="0.3">
      <c r="A20" s="11" t="s">
        <v>22</v>
      </c>
      <c r="B20" s="11">
        <v>19.78</v>
      </c>
    </row>
    <row r="21" spans="1:2" x14ac:dyDescent="0.3">
      <c r="A21" s="11" t="s">
        <v>1</v>
      </c>
      <c r="B21" s="11">
        <v>19.78</v>
      </c>
    </row>
    <row r="22" spans="1:2" x14ac:dyDescent="0.3">
      <c r="A22" s="11" t="s">
        <v>2</v>
      </c>
      <c r="B22" s="11">
        <v>16.78</v>
      </c>
    </row>
    <row r="23" spans="1:2" x14ac:dyDescent="0.3">
      <c r="A23" s="11" t="s">
        <v>3</v>
      </c>
      <c r="B23" s="11">
        <v>16.78</v>
      </c>
    </row>
    <row r="24" spans="1:2" x14ac:dyDescent="0.3">
      <c r="A24" s="11" t="s">
        <v>4</v>
      </c>
      <c r="B24" s="11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 Utama</vt:lpstr>
      <vt:lpstr>Sheet Pendukung</vt:lpstr>
      <vt:lpstr>Bluebird</vt:lpstr>
      <vt:lpstr>Gojek</vt:lpstr>
      <vt:lpstr>Indomaret</vt:lpstr>
      <vt:lpstr>Laundry</vt:lpstr>
      <vt:lpstr>Makan_Malam</vt:lpstr>
      <vt:lpstr>Makan_Siang</vt:lpstr>
      <vt:lpstr>Makan_Siang_Malam</vt:lpstr>
      <vt:lpstr>N_A</vt:lpstr>
      <vt:lpstr>Sarapan</vt:lpstr>
      <vt:lpstr>Superindo</vt:lpstr>
      <vt:lpstr>Telkomsel</vt:lpstr>
      <vt:lpstr>Tidak_Ada</vt:lpstr>
      <vt:lpstr>Titik</vt:lpstr>
      <vt:lpstr>Tokopedia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2025-07-31T06:44:19Z</dcterms:modified>
</cp:coreProperties>
</file>