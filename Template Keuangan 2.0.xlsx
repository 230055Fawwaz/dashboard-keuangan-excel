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keseharian\Templates\"/>
    </mc:Choice>
  </mc:AlternateContent>
  <xr:revisionPtr revIDLastSave="0" documentId="13_ncr:1_{1DAA71C7-D425-461F-A9AB-54412C571D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4" i="1" l="1"/>
  <c r="I78" i="1"/>
  <c r="I77" i="1"/>
  <c r="I76" i="1"/>
  <c r="I75" i="1"/>
  <c r="I74" i="1"/>
  <c r="Q8" i="1"/>
  <c r="N90" i="1" s="1"/>
  <c r="C79" i="1" l="1"/>
  <c r="O75" i="1" s="1"/>
  <c r="K8" i="1"/>
  <c r="B85" i="1" s="1"/>
  <c r="E8" i="1"/>
  <c r="N91" i="1" l="1"/>
  <c r="C78" i="1"/>
  <c r="O74" i="1" s="1"/>
  <c r="B84" i="1"/>
  <c r="B86" i="1" l="1"/>
</calcChain>
</file>

<file path=xl/sharedStrings.xml><?xml version="1.0" encoding="utf-8"?>
<sst xmlns="http://schemas.openxmlformats.org/spreadsheetml/2006/main" count="219" uniqueCount="26">
  <si>
    <t>No</t>
  </si>
  <si>
    <t>Detail</t>
  </si>
  <si>
    <t>Tanggal</t>
  </si>
  <si>
    <t>Harga</t>
  </si>
  <si>
    <t>Total</t>
  </si>
  <si>
    <t>….</t>
  </si>
  <si>
    <t>Kebutuhan Lain</t>
  </si>
  <si>
    <t>…</t>
  </si>
  <si>
    <t>Uang Tunai</t>
  </si>
  <si>
    <t>Template Keuangan 2.0</t>
  </si>
  <si>
    <t>Detail Transaksi</t>
  </si>
  <si>
    <t>Budget Awal</t>
  </si>
  <si>
    <t>Uang Digital</t>
  </si>
  <si>
    <t>Budget Akhir</t>
  </si>
  <si>
    <t>Pengeluaran per Minggu</t>
  </si>
  <si>
    <t>Minggu 1</t>
  </si>
  <si>
    <t>Minggu 2</t>
  </si>
  <si>
    <t>Minggu 3</t>
  </si>
  <si>
    <t>Minggu 4</t>
  </si>
  <si>
    <t>Catatan</t>
  </si>
  <si>
    <t>Ubah tanggal sesuai</t>
  </si>
  <si>
    <t>Bulan</t>
  </si>
  <si>
    <t>Minggu 5</t>
  </si>
  <si>
    <t>Budget Maksimal per Hari</t>
  </si>
  <si>
    <t>Sisa Hari</t>
  </si>
  <si>
    <t>Makanan Pokok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</si>
</sst>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[$Rp-3809]* #,##0.00_-;\-[$Rp-3809]* #,##0.00_-;_-[$Rp-3809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1" applyFont="1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0" applyNumberFormat="1" applyBorder="1"/>
    <xf numFmtId="44" fontId="0" fillId="0" borderId="0" xfId="0" applyNumberFormat="1"/>
    <xf numFmtId="14" fontId="0" fillId="0" borderId="1" xfId="0" applyNumberForma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21"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Uang Digital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E2-42DE-BB7B-3AA6748DB81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E2-42DE-BB7B-3AA6748DB818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E2-42DE-BB7B-3AA6748DB8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Makanan</c:v>
              </c:pt>
              <c:pt idx="1">
                <c:v>Kebutuhan</c:v>
              </c:pt>
              <c:pt idx="2">
                <c:v>Sisa Uang</c:v>
              </c:pt>
            </c:strLit>
          </c:cat>
          <c:val>
            <c:numRef>
              <c:f>Sheet1!$B$84:$B$86</c:f>
              <c:numCache>
                <c:formatCode>_("Rp"* #,##0.00_);_("Rp"* \(#,##0.00\);_("Rp"*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B-45F6-A61E-21C2812787DA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Uang Tunai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A7-41F9-B73E-F63F3EF537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A7-41F9-B73E-F63F3EF537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Terpakai</c:v>
              </c:pt>
              <c:pt idx="1">
                <c:v>Sisa Uang</c:v>
              </c:pt>
            </c:strLit>
          </c:cat>
          <c:val>
            <c:numRef>
              <c:f>Sheet1!$N$90:$N$91</c:f>
              <c:numCache>
                <c:formatCode>_("Rp"* #,##0.00_);_("Rp"* \(#,##0.00\);_("Rp"*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0-4CF7-A470-D1FF6AD405E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Grafik Pengeluaran per Minggu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Sheet1!$I$74:$I$78</c:f>
              <c:numCache>
                <c:formatCode>_("Rp"* #,##0.00_);_("Rp"* \(#,##0.00\);_("Rp"*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9-46C8-B20F-F46300A81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589631"/>
        <c:axId val="551590111"/>
      </c:lineChart>
      <c:catAx>
        <c:axId val="55158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90111"/>
        <c:crosses val="autoZero"/>
        <c:auto val="1"/>
        <c:lblAlgn val="ctr"/>
        <c:lblOffset val="100"/>
        <c:noMultiLvlLbl val="0"/>
      </c:catAx>
      <c:valAx>
        <c:axId val="55159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p&quot;* #,##0.00_);_(&quot;Rp&quot;* \(#,##0.00\);_(&quot;Rp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58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/>
    </a:solidFill>
    <a:ln w="12700" cap="flat" cmpd="sng" algn="ctr">
      <a:solidFill>
        <a:schemeClr val="dk1">
          <a:shade val="15000"/>
        </a:schemeClr>
      </a:solidFill>
      <a:prstDash val="solid"/>
      <a:miter lim="800000"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80</xdr:row>
      <xdr:rowOff>3402</xdr:rowOff>
    </xdr:from>
    <xdr:to>
      <xdr:col>5</xdr:col>
      <xdr:colOff>1360</xdr:colOff>
      <xdr:row>96</xdr:row>
      <xdr:rowOff>31297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761A976-7B58-CE68-CFA0-E0655D946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80</xdr:row>
      <xdr:rowOff>11566</xdr:rowOff>
    </xdr:from>
    <xdr:to>
      <xdr:col>17</xdr:col>
      <xdr:colOff>9525</xdr:colOff>
      <xdr:row>96</xdr:row>
      <xdr:rowOff>29935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94DE588-658F-8CA8-CD8F-E115EF47F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371475</xdr:colOff>
      <xdr:row>80</xdr:row>
      <xdr:rowOff>6123</xdr:rowOff>
    </xdr:from>
    <xdr:to>
      <xdr:col>10</xdr:col>
      <xdr:colOff>1172935</xdr:colOff>
      <xdr:row>95</xdr:row>
      <xdr:rowOff>144235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482CE-F87F-E967-B1E8-6F1A28814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1"/>
  <sheetViews>
    <sheetView tabSelected="1" zoomScale="80" zoomScaleNormal="80" workbookViewId="0">
      <selection activeCell="E22" sqref="E22"/>
    </sheetView>
  </sheetViews>
  <sheetFormatPr defaultRowHeight="14.4" customHeight="1" x14ac:dyDescent="0.3"/>
  <cols>
    <col min="1" max="1" width="5.6640625" customWidth="1"/>
    <col min="2" max="2" width="20.5546875" customWidth="1"/>
    <col min="3" max="5" width="17.5546875" customWidth="1"/>
    <col min="7" max="7" width="5.6640625" customWidth="1"/>
    <col min="8" max="11" width="17.5546875" customWidth="1"/>
    <col min="13" max="13" width="5.6640625" customWidth="1"/>
    <col min="14" max="14" width="20.5546875" customWidth="1"/>
    <col min="15" max="16" width="17.5546875" customWidth="1"/>
    <col min="17" max="17" width="17.6640625" customWidth="1"/>
    <col min="19" max="19" width="5.77734375" customWidth="1"/>
    <col min="20" max="23" width="17.5546875" customWidth="1"/>
  </cols>
  <sheetData>
    <row r="1" spans="1:17" ht="14.4" customHeight="1" x14ac:dyDescent="0.3">
      <c r="A1" s="11" t="s">
        <v>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</row>
    <row r="2" spans="1:17" ht="14.4" customHeight="1" x14ac:dyDescent="0.3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6"/>
    </row>
    <row r="3" spans="1:17" ht="14.4" customHeight="1" x14ac:dyDescent="0.3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9"/>
    </row>
    <row r="5" spans="1:17" ht="14.4" customHeight="1" x14ac:dyDescent="0.3">
      <c r="A5" s="20" t="s">
        <v>25</v>
      </c>
      <c r="B5" s="21"/>
      <c r="C5" s="21"/>
      <c r="D5" s="21"/>
      <c r="E5" s="22"/>
      <c r="G5" s="20" t="s">
        <v>6</v>
      </c>
      <c r="H5" s="21"/>
      <c r="I5" s="21"/>
      <c r="J5" s="21"/>
      <c r="K5" s="22"/>
      <c r="M5" s="20" t="s">
        <v>8</v>
      </c>
      <c r="N5" s="21"/>
      <c r="O5" s="21"/>
      <c r="P5" s="21"/>
      <c r="Q5" s="22"/>
    </row>
    <row r="6" spans="1:17" ht="14.4" customHeight="1" x14ac:dyDescent="0.3">
      <c r="A6" s="23"/>
      <c r="B6" s="24"/>
      <c r="C6" s="24"/>
      <c r="D6" s="24"/>
      <c r="E6" s="25"/>
      <c r="G6" s="23"/>
      <c r="H6" s="24"/>
      <c r="I6" s="24"/>
      <c r="J6" s="24"/>
      <c r="K6" s="25"/>
      <c r="M6" s="23"/>
      <c r="N6" s="24"/>
      <c r="O6" s="24"/>
      <c r="P6" s="24"/>
      <c r="Q6" s="25"/>
    </row>
    <row r="7" spans="1:17" ht="14.4" customHeight="1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G7" s="1" t="s">
        <v>0</v>
      </c>
      <c r="H7" s="1" t="s">
        <v>1</v>
      </c>
      <c r="I7" s="1" t="s">
        <v>2</v>
      </c>
      <c r="J7" s="1" t="s">
        <v>3</v>
      </c>
      <c r="K7" s="1" t="s">
        <v>4</v>
      </c>
      <c r="M7" s="1" t="s">
        <v>0</v>
      </c>
      <c r="N7" s="1" t="s">
        <v>1</v>
      </c>
      <c r="O7" s="1" t="s">
        <v>2</v>
      </c>
      <c r="P7" s="1" t="s">
        <v>3</v>
      </c>
      <c r="Q7" s="1" t="s">
        <v>4</v>
      </c>
    </row>
    <row r="8" spans="1:17" ht="14.4" customHeight="1" x14ac:dyDescent="0.3">
      <c r="A8" s="1">
        <v>1</v>
      </c>
      <c r="B8" s="1" t="s">
        <v>5</v>
      </c>
      <c r="C8" s="10"/>
      <c r="D8" s="2"/>
      <c r="E8" s="3">
        <f>SUM(D8:D67)</f>
        <v>0</v>
      </c>
      <c r="G8" s="1">
        <v>1</v>
      </c>
      <c r="H8" s="1" t="s">
        <v>7</v>
      </c>
      <c r="I8" s="1"/>
      <c r="J8" s="2"/>
      <c r="K8" s="4">
        <f>SUM(J8:J67)</f>
        <v>0</v>
      </c>
      <c r="M8" s="1">
        <v>1</v>
      </c>
      <c r="N8" s="1" t="s">
        <v>5</v>
      </c>
      <c r="O8" s="1"/>
      <c r="P8" s="3"/>
      <c r="Q8" s="3">
        <f>SUM(P8:P67)</f>
        <v>0</v>
      </c>
    </row>
    <row r="9" spans="1:17" ht="14.4" customHeight="1" x14ac:dyDescent="0.3">
      <c r="A9" s="1">
        <v>2</v>
      </c>
      <c r="B9" s="1" t="s">
        <v>5</v>
      </c>
      <c r="C9" s="10"/>
      <c r="D9" s="2"/>
      <c r="G9" s="1">
        <v>2</v>
      </c>
      <c r="H9" s="1" t="s">
        <v>7</v>
      </c>
      <c r="I9" s="1"/>
      <c r="J9" s="2"/>
      <c r="M9" s="1">
        <v>2</v>
      </c>
      <c r="N9" s="1" t="s">
        <v>5</v>
      </c>
      <c r="O9" s="1"/>
      <c r="P9" s="3"/>
    </row>
    <row r="10" spans="1:17" ht="14.4" customHeight="1" x14ac:dyDescent="0.3">
      <c r="A10" s="1">
        <v>3</v>
      </c>
      <c r="B10" s="1" t="s">
        <v>5</v>
      </c>
      <c r="C10" s="10"/>
      <c r="D10" s="2"/>
      <c r="G10" s="1">
        <v>3</v>
      </c>
      <c r="H10" s="1" t="s">
        <v>7</v>
      </c>
      <c r="I10" s="1"/>
      <c r="J10" s="2"/>
      <c r="M10" s="1">
        <v>3</v>
      </c>
      <c r="N10" s="1" t="s">
        <v>5</v>
      </c>
      <c r="O10" s="1"/>
      <c r="P10" s="3"/>
    </row>
    <row r="11" spans="1:17" ht="14.4" customHeight="1" x14ac:dyDescent="0.3">
      <c r="A11" s="1">
        <v>4</v>
      </c>
      <c r="B11" s="1" t="s">
        <v>5</v>
      </c>
      <c r="C11" s="10"/>
      <c r="D11" s="2"/>
      <c r="G11" s="1">
        <v>4</v>
      </c>
      <c r="H11" s="1" t="s">
        <v>7</v>
      </c>
      <c r="I11" s="1"/>
      <c r="J11" s="2"/>
      <c r="M11" s="1">
        <v>4</v>
      </c>
      <c r="N11" s="1" t="s">
        <v>5</v>
      </c>
      <c r="O11" s="1"/>
      <c r="P11" s="3"/>
    </row>
    <row r="12" spans="1:17" ht="14.4" customHeight="1" x14ac:dyDescent="0.3">
      <c r="A12" s="1">
        <v>5</v>
      </c>
      <c r="B12" s="1" t="s">
        <v>5</v>
      </c>
      <c r="C12" s="10"/>
      <c r="D12" s="2"/>
      <c r="G12" s="1">
        <v>5</v>
      </c>
      <c r="H12" s="1" t="s">
        <v>7</v>
      </c>
      <c r="I12" s="1"/>
      <c r="J12" s="2"/>
      <c r="M12" s="1">
        <v>5</v>
      </c>
      <c r="N12" s="1" t="s">
        <v>5</v>
      </c>
      <c r="O12" s="1"/>
      <c r="P12" s="3"/>
    </row>
    <row r="13" spans="1:17" ht="14.4" customHeight="1" x14ac:dyDescent="0.3">
      <c r="A13" s="1">
        <v>6</v>
      </c>
      <c r="B13" s="1" t="s">
        <v>5</v>
      </c>
      <c r="C13" s="1"/>
      <c r="D13" s="2"/>
      <c r="G13" s="1">
        <v>6</v>
      </c>
      <c r="H13" s="1" t="s">
        <v>7</v>
      </c>
      <c r="I13" s="1"/>
      <c r="J13" s="2"/>
      <c r="M13" s="1">
        <v>6</v>
      </c>
      <c r="N13" s="1" t="s">
        <v>5</v>
      </c>
      <c r="O13" s="1"/>
      <c r="P13" s="3"/>
    </row>
    <row r="14" spans="1:17" ht="14.4" customHeight="1" x14ac:dyDescent="0.3">
      <c r="A14" s="1">
        <v>7</v>
      </c>
      <c r="B14" s="1" t="s">
        <v>5</v>
      </c>
      <c r="C14" s="1"/>
      <c r="D14" s="2"/>
      <c r="G14" s="1">
        <v>7</v>
      </c>
      <c r="H14" s="1" t="s">
        <v>7</v>
      </c>
      <c r="I14" s="1"/>
      <c r="J14" s="2"/>
      <c r="M14" s="1">
        <v>7</v>
      </c>
      <c r="N14" s="1" t="s">
        <v>5</v>
      </c>
      <c r="O14" s="1"/>
      <c r="P14" s="3"/>
    </row>
    <row r="15" spans="1:17" ht="14.4" customHeight="1" x14ac:dyDescent="0.3">
      <c r="A15" s="1">
        <v>8</v>
      </c>
      <c r="B15" s="1" t="s">
        <v>5</v>
      </c>
      <c r="C15" s="1"/>
      <c r="D15" s="2"/>
      <c r="G15" s="1">
        <v>8</v>
      </c>
      <c r="H15" s="1" t="s">
        <v>7</v>
      </c>
      <c r="I15" s="1"/>
      <c r="J15" s="2"/>
      <c r="M15" s="1">
        <v>8</v>
      </c>
      <c r="N15" s="1" t="s">
        <v>5</v>
      </c>
      <c r="O15" s="1"/>
      <c r="P15" s="3"/>
    </row>
    <row r="16" spans="1:17" ht="14.4" customHeight="1" x14ac:dyDescent="0.3">
      <c r="A16" s="1">
        <v>9</v>
      </c>
      <c r="B16" s="1" t="s">
        <v>5</v>
      </c>
      <c r="C16" s="1"/>
      <c r="D16" s="2"/>
      <c r="G16" s="1">
        <v>9</v>
      </c>
      <c r="H16" s="1" t="s">
        <v>7</v>
      </c>
      <c r="I16" s="1"/>
      <c r="J16" s="2"/>
      <c r="M16" s="1">
        <v>9</v>
      </c>
      <c r="N16" s="1" t="s">
        <v>5</v>
      </c>
      <c r="O16" s="1"/>
      <c r="P16" s="3"/>
    </row>
    <row r="17" spans="1:16" ht="14.4" customHeight="1" x14ac:dyDescent="0.3">
      <c r="A17" s="1">
        <v>10</v>
      </c>
      <c r="B17" s="1" t="s">
        <v>5</v>
      </c>
      <c r="C17" s="1"/>
      <c r="D17" s="2"/>
      <c r="G17" s="1">
        <v>10</v>
      </c>
      <c r="H17" s="1" t="s">
        <v>7</v>
      </c>
      <c r="I17" s="1"/>
      <c r="J17" s="2"/>
      <c r="M17" s="1">
        <v>10</v>
      </c>
      <c r="N17" s="1" t="s">
        <v>5</v>
      </c>
      <c r="O17" s="1"/>
      <c r="P17" s="3"/>
    </row>
    <row r="18" spans="1:16" ht="14.4" customHeight="1" x14ac:dyDescent="0.3">
      <c r="A18" s="1">
        <v>11</v>
      </c>
      <c r="B18" s="1" t="s">
        <v>5</v>
      </c>
      <c r="C18" s="1"/>
      <c r="D18" s="2"/>
      <c r="G18" s="1">
        <v>11</v>
      </c>
      <c r="H18" s="1" t="s">
        <v>7</v>
      </c>
      <c r="I18" s="1"/>
      <c r="J18" s="2"/>
      <c r="M18" s="1">
        <v>11</v>
      </c>
      <c r="N18" s="1" t="s">
        <v>5</v>
      </c>
      <c r="O18" s="1"/>
      <c r="P18" s="3"/>
    </row>
    <row r="19" spans="1:16" ht="14.4" customHeight="1" x14ac:dyDescent="0.3">
      <c r="A19" s="1">
        <v>12</v>
      </c>
      <c r="B19" s="1" t="s">
        <v>5</v>
      </c>
      <c r="C19" s="1"/>
      <c r="D19" s="2"/>
      <c r="G19" s="1">
        <v>12</v>
      </c>
      <c r="H19" s="1" t="s">
        <v>7</v>
      </c>
      <c r="I19" s="1"/>
      <c r="J19" s="2"/>
      <c r="M19" s="1">
        <v>12</v>
      </c>
      <c r="N19" s="1" t="s">
        <v>5</v>
      </c>
      <c r="O19" s="1"/>
      <c r="P19" s="3"/>
    </row>
    <row r="20" spans="1:16" ht="14.4" customHeight="1" x14ac:dyDescent="0.3">
      <c r="A20" s="1">
        <v>13</v>
      </c>
      <c r="B20" s="1" t="s">
        <v>5</v>
      </c>
      <c r="C20" s="1"/>
      <c r="D20" s="2"/>
      <c r="G20" s="1">
        <v>13</v>
      </c>
      <c r="H20" s="1" t="s">
        <v>7</v>
      </c>
      <c r="I20" s="1"/>
      <c r="J20" s="2"/>
      <c r="M20" s="1">
        <v>13</v>
      </c>
      <c r="N20" s="1" t="s">
        <v>5</v>
      </c>
      <c r="O20" s="1"/>
      <c r="P20" s="3"/>
    </row>
    <row r="21" spans="1:16" ht="14.4" customHeight="1" x14ac:dyDescent="0.3">
      <c r="A21" s="1">
        <v>14</v>
      </c>
      <c r="B21" s="1" t="s">
        <v>5</v>
      </c>
      <c r="C21" s="1"/>
      <c r="D21" s="2"/>
      <c r="G21" s="1">
        <v>14</v>
      </c>
      <c r="H21" s="1" t="s">
        <v>7</v>
      </c>
      <c r="I21" s="1"/>
      <c r="J21" s="2"/>
      <c r="M21" s="1">
        <v>14</v>
      </c>
      <c r="N21" s="1" t="s">
        <v>5</v>
      </c>
      <c r="O21" s="1"/>
      <c r="P21" s="3"/>
    </row>
    <row r="22" spans="1:16" ht="14.4" customHeight="1" x14ac:dyDescent="0.3">
      <c r="A22" s="1">
        <v>15</v>
      </c>
      <c r="B22" s="1" t="s">
        <v>5</v>
      </c>
      <c r="C22" s="1"/>
      <c r="D22" s="2"/>
      <c r="G22" s="1">
        <v>15</v>
      </c>
      <c r="H22" s="1" t="s">
        <v>7</v>
      </c>
      <c r="I22" s="1"/>
      <c r="J22" s="2"/>
      <c r="M22" s="1">
        <v>15</v>
      </c>
      <c r="N22" s="1" t="s">
        <v>5</v>
      </c>
      <c r="O22" s="1"/>
      <c r="P22" s="3"/>
    </row>
    <row r="23" spans="1:16" ht="14.4" customHeight="1" x14ac:dyDescent="0.3">
      <c r="A23" s="1">
        <v>16</v>
      </c>
      <c r="B23" s="1" t="s">
        <v>5</v>
      </c>
      <c r="C23" s="1"/>
      <c r="D23" s="2"/>
      <c r="G23" s="1">
        <v>16</v>
      </c>
      <c r="H23" s="1" t="s">
        <v>7</v>
      </c>
      <c r="I23" s="1"/>
      <c r="J23" s="2"/>
      <c r="M23" s="1">
        <v>16</v>
      </c>
      <c r="N23" s="1" t="s">
        <v>5</v>
      </c>
      <c r="O23" s="1"/>
      <c r="P23" s="3"/>
    </row>
    <row r="24" spans="1:16" ht="14.4" customHeight="1" x14ac:dyDescent="0.3">
      <c r="A24" s="1">
        <v>17</v>
      </c>
      <c r="B24" s="1" t="s">
        <v>5</v>
      </c>
      <c r="C24" s="1"/>
      <c r="D24" s="2"/>
      <c r="G24" s="1">
        <v>17</v>
      </c>
      <c r="H24" s="1" t="s">
        <v>7</v>
      </c>
      <c r="I24" s="1"/>
      <c r="J24" s="2"/>
      <c r="M24" s="1">
        <v>17</v>
      </c>
      <c r="N24" s="1" t="s">
        <v>5</v>
      </c>
      <c r="O24" s="1"/>
      <c r="P24" s="3"/>
    </row>
    <row r="25" spans="1:16" ht="14.4" customHeight="1" x14ac:dyDescent="0.3">
      <c r="A25" s="1">
        <v>18</v>
      </c>
      <c r="B25" s="1" t="s">
        <v>5</v>
      </c>
      <c r="C25" s="1"/>
      <c r="D25" s="2"/>
      <c r="G25" s="1">
        <v>18</v>
      </c>
      <c r="H25" s="1" t="s">
        <v>7</v>
      </c>
      <c r="I25" s="1"/>
      <c r="J25" s="2"/>
      <c r="M25" s="1">
        <v>18</v>
      </c>
      <c r="N25" s="1" t="s">
        <v>5</v>
      </c>
      <c r="O25" s="1"/>
      <c r="P25" s="3"/>
    </row>
    <row r="26" spans="1:16" ht="14.4" customHeight="1" x14ac:dyDescent="0.3">
      <c r="A26" s="1">
        <v>19</v>
      </c>
      <c r="B26" s="1" t="s">
        <v>5</v>
      </c>
      <c r="C26" s="1"/>
      <c r="D26" s="2"/>
      <c r="G26" s="1">
        <v>19</v>
      </c>
      <c r="H26" s="1" t="s">
        <v>7</v>
      </c>
      <c r="I26" s="1"/>
      <c r="J26" s="2"/>
      <c r="M26" s="1">
        <v>19</v>
      </c>
      <c r="N26" s="1" t="s">
        <v>5</v>
      </c>
      <c r="O26" s="1"/>
      <c r="P26" s="3"/>
    </row>
    <row r="27" spans="1:16" ht="14.4" customHeight="1" x14ac:dyDescent="0.3">
      <c r="A27" s="1">
        <v>20</v>
      </c>
      <c r="B27" s="1" t="s">
        <v>5</v>
      </c>
      <c r="C27" s="1"/>
      <c r="D27" s="2"/>
      <c r="G27" s="1">
        <v>20</v>
      </c>
      <c r="H27" s="1" t="s">
        <v>7</v>
      </c>
      <c r="I27" s="1"/>
      <c r="J27" s="2"/>
      <c r="M27" s="1">
        <v>20</v>
      </c>
      <c r="N27" s="1" t="s">
        <v>5</v>
      </c>
      <c r="O27" s="1"/>
      <c r="P27" s="3"/>
    </row>
    <row r="28" spans="1:16" ht="14.4" customHeight="1" x14ac:dyDescent="0.3">
      <c r="A28" s="1">
        <v>21</v>
      </c>
      <c r="B28" s="1" t="s">
        <v>5</v>
      </c>
      <c r="C28" s="1"/>
      <c r="D28" s="2"/>
      <c r="G28" s="1">
        <v>21</v>
      </c>
      <c r="H28" s="1" t="s">
        <v>7</v>
      </c>
      <c r="I28" s="1"/>
      <c r="J28" s="2"/>
      <c r="M28" s="1">
        <v>21</v>
      </c>
      <c r="N28" s="1" t="s">
        <v>5</v>
      </c>
      <c r="O28" s="1"/>
      <c r="P28" s="3"/>
    </row>
    <row r="29" spans="1:16" ht="14.4" customHeight="1" x14ac:dyDescent="0.3">
      <c r="A29" s="1">
        <v>22</v>
      </c>
      <c r="B29" s="1" t="s">
        <v>5</v>
      </c>
      <c r="C29" s="1"/>
      <c r="D29" s="2"/>
      <c r="G29" s="1">
        <v>22</v>
      </c>
      <c r="H29" s="1" t="s">
        <v>7</v>
      </c>
      <c r="I29" s="1"/>
      <c r="J29" s="2"/>
      <c r="M29" s="1">
        <v>22</v>
      </c>
      <c r="N29" s="1" t="s">
        <v>5</v>
      </c>
      <c r="O29" s="1"/>
      <c r="P29" s="3"/>
    </row>
    <row r="30" spans="1:16" ht="14.4" customHeight="1" x14ac:dyDescent="0.3">
      <c r="A30" s="1">
        <v>23</v>
      </c>
      <c r="B30" s="1" t="s">
        <v>5</v>
      </c>
      <c r="C30" s="1"/>
      <c r="D30" s="2"/>
      <c r="G30" s="1">
        <v>23</v>
      </c>
      <c r="H30" s="1" t="s">
        <v>7</v>
      </c>
      <c r="I30" s="1"/>
      <c r="J30" s="2"/>
      <c r="M30" s="1">
        <v>23</v>
      </c>
      <c r="N30" s="1" t="s">
        <v>5</v>
      </c>
      <c r="O30" s="1"/>
      <c r="P30" s="3"/>
    </row>
    <row r="31" spans="1:16" ht="14.4" customHeight="1" x14ac:dyDescent="0.3">
      <c r="A31" s="1">
        <v>24</v>
      </c>
      <c r="B31" s="1" t="s">
        <v>5</v>
      </c>
      <c r="C31" s="1"/>
      <c r="D31" s="2"/>
      <c r="G31" s="1">
        <v>24</v>
      </c>
      <c r="H31" s="1" t="s">
        <v>7</v>
      </c>
      <c r="I31" s="1"/>
      <c r="J31" s="2"/>
      <c r="M31" s="1">
        <v>24</v>
      </c>
      <c r="N31" s="1" t="s">
        <v>5</v>
      </c>
      <c r="O31" s="1"/>
      <c r="P31" s="3"/>
    </row>
    <row r="32" spans="1:16" ht="14.4" customHeight="1" x14ac:dyDescent="0.3">
      <c r="A32" s="1">
        <v>25</v>
      </c>
      <c r="B32" s="1" t="s">
        <v>5</v>
      </c>
      <c r="C32" s="1"/>
      <c r="D32" s="2"/>
      <c r="G32" s="1">
        <v>25</v>
      </c>
      <c r="H32" s="1" t="s">
        <v>7</v>
      </c>
      <c r="I32" s="1"/>
      <c r="J32" s="2"/>
      <c r="M32" s="1">
        <v>25</v>
      </c>
      <c r="N32" s="1" t="s">
        <v>5</v>
      </c>
      <c r="O32" s="1"/>
      <c r="P32" s="3"/>
    </row>
    <row r="33" spans="1:16" ht="14.4" customHeight="1" x14ac:dyDescent="0.3">
      <c r="A33" s="1">
        <v>26</v>
      </c>
      <c r="B33" s="1" t="s">
        <v>5</v>
      </c>
      <c r="C33" s="1"/>
      <c r="D33" s="2"/>
      <c r="G33" s="1">
        <v>26</v>
      </c>
      <c r="H33" s="1" t="s">
        <v>7</v>
      </c>
      <c r="I33" s="1"/>
      <c r="J33" s="2"/>
      <c r="M33" s="1">
        <v>26</v>
      </c>
      <c r="N33" s="1" t="s">
        <v>5</v>
      </c>
      <c r="O33" s="1"/>
      <c r="P33" s="3"/>
    </row>
    <row r="34" spans="1:16" ht="14.4" customHeight="1" x14ac:dyDescent="0.3">
      <c r="A34" s="1">
        <v>27</v>
      </c>
      <c r="B34" s="1" t="s">
        <v>5</v>
      </c>
      <c r="C34" s="1"/>
      <c r="D34" s="2"/>
      <c r="G34" s="1">
        <v>27</v>
      </c>
      <c r="H34" s="1" t="s">
        <v>7</v>
      </c>
      <c r="I34" s="1"/>
      <c r="J34" s="2"/>
      <c r="M34" s="1">
        <v>27</v>
      </c>
      <c r="N34" s="1" t="s">
        <v>5</v>
      </c>
      <c r="O34" s="1"/>
      <c r="P34" s="3"/>
    </row>
    <row r="35" spans="1:16" ht="14.4" customHeight="1" x14ac:dyDescent="0.3">
      <c r="A35" s="1">
        <v>28</v>
      </c>
      <c r="B35" s="1" t="s">
        <v>5</v>
      </c>
      <c r="C35" s="1"/>
      <c r="D35" s="2"/>
      <c r="G35" s="1">
        <v>28</v>
      </c>
      <c r="H35" s="1" t="s">
        <v>7</v>
      </c>
      <c r="I35" s="1"/>
      <c r="J35" s="2"/>
      <c r="M35" s="1">
        <v>28</v>
      </c>
      <c r="N35" s="1" t="s">
        <v>5</v>
      </c>
      <c r="O35" s="1"/>
      <c r="P35" s="3"/>
    </row>
    <row r="36" spans="1:16" ht="14.4" customHeight="1" x14ac:dyDescent="0.3">
      <c r="A36" s="1">
        <v>29</v>
      </c>
      <c r="B36" s="1" t="s">
        <v>5</v>
      </c>
      <c r="C36" s="1"/>
      <c r="D36" s="2"/>
      <c r="G36" s="1">
        <v>29</v>
      </c>
      <c r="H36" s="1" t="s">
        <v>7</v>
      </c>
      <c r="I36" s="1"/>
      <c r="J36" s="2"/>
      <c r="M36" s="1">
        <v>29</v>
      </c>
      <c r="N36" s="1" t="s">
        <v>5</v>
      </c>
      <c r="O36" s="1"/>
      <c r="P36" s="3"/>
    </row>
    <row r="37" spans="1:16" ht="14.4" customHeight="1" x14ac:dyDescent="0.3">
      <c r="A37" s="1">
        <v>30</v>
      </c>
      <c r="B37" s="1" t="s">
        <v>5</v>
      </c>
      <c r="C37" s="1"/>
      <c r="D37" s="2"/>
      <c r="G37" s="1">
        <v>30</v>
      </c>
      <c r="H37" s="1" t="s">
        <v>7</v>
      </c>
      <c r="I37" s="1"/>
      <c r="J37" s="2"/>
      <c r="M37" s="1">
        <v>30</v>
      </c>
      <c r="N37" s="1" t="s">
        <v>5</v>
      </c>
      <c r="O37" s="1"/>
      <c r="P37" s="3"/>
    </row>
    <row r="38" spans="1:16" ht="14.4" customHeight="1" x14ac:dyDescent="0.3">
      <c r="A38" s="1">
        <v>31</v>
      </c>
      <c r="B38" s="1" t="s">
        <v>5</v>
      </c>
      <c r="C38" s="1"/>
      <c r="D38" s="2"/>
      <c r="G38" s="1">
        <v>31</v>
      </c>
      <c r="H38" s="1" t="s">
        <v>7</v>
      </c>
      <c r="I38" s="1"/>
      <c r="J38" s="2"/>
      <c r="M38" s="1">
        <v>31</v>
      </c>
      <c r="N38" s="1" t="s">
        <v>5</v>
      </c>
      <c r="O38" s="1"/>
      <c r="P38" s="3"/>
    </row>
    <row r="39" spans="1:16" ht="14.4" customHeight="1" x14ac:dyDescent="0.3">
      <c r="A39" s="1">
        <v>32</v>
      </c>
      <c r="B39" s="1" t="s">
        <v>5</v>
      </c>
      <c r="C39" s="1"/>
      <c r="D39" s="2"/>
      <c r="G39" s="1">
        <v>32</v>
      </c>
      <c r="H39" s="1" t="s">
        <v>7</v>
      </c>
      <c r="I39" s="1"/>
      <c r="J39" s="2"/>
      <c r="M39" s="1">
        <v>32</v>
      </c>
      <c r="N39" s="1" t="s">
        <v>5</v>
      </c>
      <c r="O39" s="1"/>
      <c r="P39" s="3"/>
    </row>
    <row r="40" spans="1:16" ht="14.4" customHeight="1" x14ac:dyDescent="0.3">
      <c r="A40" s="1">
        <v>33</v>
      </c>
      <c r="B40" s="1" t="s">
        <v>5</v>
      </c>
      <c r="C40" s="1"/>
      <c r="D40" s="2"/>
      <c r="G40" s="1">
        <v>33</v>
      </c>
      <c r="H40" s="1" t="s">
        <v>7</v>
      </c>
      <c r="I40" s="1"/>
      <c r="J40" s="2"/>
      <c r="M40" s="1">
        <v>33</v>
      </c>
      <c r="N40" s="1" t="s">
        <v>5</v>
      </c>
      <c r="O40" s="1"/>
      <c r="P40" s="3"/>
    </row>
    <row r="41" spans="1:16" ht="14.4" customHeight="1" x14ac:dyDescent="0.3">
      <c r="A41" s="1">
        <v>34</v>
      </c>
      <c r="B41" s="1" t="s">
        <v>5</v>
      </c>
      <c r="C41" s="1"/>
      <c r="D41" s="2"/>
      <c r="G41" s="1">
        <v>34</v>
      </c>
      <c r="H41" s="1" t="s">
        <v>7</v>
      </c>
      <c r="I41" s="1"/>
      <c r="J41" s="2"/>
      <c r="M41" s="1">
        <v>34</v>
      </c>
      <c r="N41" s="1" t="s">
        <v>5</v>
      </c>
      <c r="O41" s="1"/>
      <c r="P41" s="3"/>
    </row>
    <row r="42" spans="1:16" ht="14.4" customHeight="1" x14ac:dyDescent="0.3">
      <c r="A42" s="1">
        <v>35</v>
      </c>
      <c r="B42" s="1" t="s">
        <v>5</v>
      </c>
      <c r="C42" s="1"/>
      <c r="D42" s="2"/>
      <c r="G42" s="1">
        <v>35</v>
      </c>
      <c r="H42" s="1" t="s">
        <v>7</v>
      </c>
      <c r="I42" s="1"/>
      <c r="J42" s="2"/>
      <c r="M42" s="1">
        <v>35</v>
      </c>
      <c r="N42" s="1" t="s">
        <v>5</v>
      </c>
      <c r="O42" s="1"/>
      <c r="P42" s="3"/>
    </row>
    <row r="43" spans="1:16" ht="14.4" customHeight="1" x14ac:dyDescent="0.3">
      <c r="A43" s="1">
        <v>36</v>
      </c>
      <c r="B43" s="1" t="s">
        <v>5</v>
      </c>
      <c r="C43" s="1"/>
      <c r="D43" s="2"/>
      <c r="G43" s="1">
        <v>36</v>
      </c>
      <c r="H43" s="1" t="s">
        <v>7</v>
      </c>
      <c r="I43" s="1"/>
      <c r="J43" s="2"/>
      <c r="M43" s="1">
        <v>36</v>
      </c>
      <c r="N43" s="1" t="s">
        <v>5</v>
      </c>
      <c r="O43" s="1"/>
      <c r="P43" s="3"/>
    </row>
    <row r="44" spans="1:16" ht="14.4" customHeight="1" x14ac:dyDescent="0.3">
      <c r="A44" s="1">
        <v>37</v>
      </c>
      <c r="B44" s="1" t="s">
        <v>5</v>
      </c>
      <c r="C44" s="1"/>
      <c r="D44" s="2"/>
      <c r="G44" s="1">
        <v>37</v>
      </c>
      <c r="H44" s="1" t="s">
        <v>7</v>
      </c>
      <c r="I44" s="1"/>
      <c r="J44" s="2"/>
      <c r="M44" s="1">
        <v>37</v>
      </c>
      <c r="N44" s="1" t="s">
        <v>5</v>
      </c>
      <c r="O44" s="1"/>
      <c r="P44" s="3"/>
    </row>
    <row r="45" spans="1:16" ht="14.4" customHeight="1" x14ac:dyDescent="0.3">
      <c r="A45" s="1">
        <v>38</v>
      </c>
      <c r="B45" s="1" t="s">
        <v>5</v>
      </c>
      <c r="C45" s="1"/>
      <c r="D45" s="2"/>
      <c r="G45" s="1">
        <v>38</v>
      </c>
      <c r="H45" s="1" t="s">
        <v>7</v>
      </c>
      <c r="I45" s="1"/>
      <c r="J45" s="2"/>
      <c r="M45" s="1">
        <v>38</v>
      </c>
      <c r="N45" s="1" t="s">
        <v>5</v>
      </c>
      <c r="O45" s="1"/>
      <c r="P45" s="3"/>
    </row>
    <row r="46" spans="1:16" ht="14.4" customHeight="1" x14ac:dyDescent="0.3">
      <c r="A46" s="1">
        <v>39</v>
      </c>
      <c r="B46" s="1" t="s">
        <v>5</v>
      </c>
      <c r="C46" s="1"/>
      <c r="D46" s="2"/>
      <c r="G46" s="1">
        <v>39</v>
      </c>
      <c r="H46" s="1" t="s">
        <v>7</v>
      </c>
      <c r="I46" s="1"/>
      <c r="J46" s="2"/>
      <c r="M46" s="1">
        <v>39</v>
      </c>
      <c r="N46" s="1" t="s">
        <v>5</v>
      </c>
      <c r="O46" s="1"/>
      <c r="P46" s="3"/>
    </row>
    <row r="47" spans="1:16" ht="14.4" customHeight="1" x14ac:dyDescent="0.3">
      <c r="A47" s="1">
        <v>40</v>
      </c>
      <c r="B47" s="1" t="s">
        <v>5</v>
      </c>
      <c r="C47" s="1"/>
      <c r="D47" s="2"/>
      <c r="G47" s="1">
        <v>40</v>
      </c>
      <c r="H47" s="1" t="s">
        <v>7</v>
      </c>
      <c r="I47" s="1"/>
      <c r="J47" s="2"/>
      <c r="M47" s="1">
        <v>40</v>
      </c>
      <c r="N47" s="1" t="s">
        <v>5</v>
      </c>
      <c r="O47" s="1"/>
      <c r="P47" s="3"/>
    </row>
    <row r="48" spans="1:16" ht="14.4" customHeight="1" x14ac:dyDescent="0.3">
      <c r="A48" s="1">
        <v>41</v>
      </c>
      <c r="B48" s="1" t="s">
        <v>5</v>
      </c>
      <c r="C48" s="1"/>
      <c r="D48" s="2"/>
      <c r="G48" s="1">
        <v>41</v>
      </c>
      <c r="H48" s="1" t="s">
        <v>7</v>
      </c>
      <c r="I48" s="1"/>
      <c r="J48" s="2"/>
      <c r="M48" s="1">
        <v>41</v>
      </c>
      <c r="N48" s="1" t="s">
        <v>5</v>
      </c>
      <c r="O48" s="1"/>
      <c r="P48" s="3"/>
    </row>
    <row r="49" spans="1:16" ht="14.4" customHeight="1" x14ac:dyDescent="0.3">
      <c r="A49" s="1">
        <v>42</v>
      </c>
      <c r="B49" s="1" t="s">
        <v>5</v>
      </c>
      <c r="C49" s="1"/>
      <c r="D49" s="2"/>
      <c r="G49" s="1">
        <v>42</v>
      </c>
      <c r="H49" s="1" t="s">
        <v>7</v>
      </c>
      <c r="I49" s="1"/>
      <c r="J49" s="2"/>
      <c r="M49" s="1">
        <v>42</v>
      </c>
      <c r="N49" s="1" t="s">
        <v>5</v>
      </c>
      <c r="O49" s="1"/>
      <c r="P49" s="3"/>
    </row>
    <row r="50" spans="1:16" ht="14.4" customHeight="1" x14ac:dyDescent="0.3">
      <c r="A50" s="1">
        <v>43</v>
      </c>
      <c r="B50" s="1" t="s">
        <v>5</v>
      </c>
      <c r="C50" s="1"/>
      <c r="D50" s="2"/>
      <c r="G50" s="1">
        <v>43</v>
      </c>
      <c r="H50" s="1" t="s">
        <v>7</v>
      </c>
      <c r="I50" s="1"/>
      <c r="J50" s="2"/>
      <c r="M50" s="1">
        <v>43</v>
      </c>
      <c r="N50" s="1" t="s">
        <v>5</v>
      </c>
      <c r="O50" s="1"/>
      <c r="P50" s="3"/>
    </row>
    <row r="51" spans="1:16" ht="14.4" customHeight="1" x14ac:dyDescent="0.3">
      <c r="A51" s="1">
        <v>44</v>
      </c>
      <c r="B51" s="1" t="s">
        <v>5</v>
      </c>
      <c r="C51" s="1"/>
      <c r="D51" s="2"/>
      <c r="G51" s="1">
        <v>44</v>
      </c>
      <c r="H51" s="1" t="s">
        <v>7</v>
      </c>
      <c r="I51" s="1"/>
      <c r="J51" s="2"/>
      <c r="M51" s="1">
        <v>44</v>
      </c>
      <c r="N51" s="1" t="s">
        <v>5</v>
      </c>
      <c r="O51" s="1"/>
      <c r="P51" s="3"/>
    </row>
    <row r="52" spans="1:16" ht="14.4" customHeight="1" x14ac:dyDescent="0.3">
      <c r="A52" s="1">
        <v>45</v>
      </c>
      <c r="B52" s="1" t="s">
        <v>5</v>
      </c>
      <c r="C52" s="1"/>
      <c r="D52" s="2"/>
      <c r="G52" s="1">
        <v>45</v>
      </c>
      <c r="H52" s="1" t="s">
        <v>7</v>
      </c>
      <c r="I52" s="1"/>
      <c r="J52" s="2"/>
      <c r="M52" s="1">
        <v>45</v>
      </c>
      <c r="N52" s="1" t="s">
        <v>5</v>
      </c>
      <c r="O52" s="1"/>
      <c r="P52" s="3"/>
    </row>
    <row r="53" spans="1:16" ht="14.4" customHeight="1" x14ac:dyDescent="0.3">
      <c r="A53" s="1">
        <v>46</v>
      </c>
      <c r="B53" s="1" t="s">
        <v>5</v>
      </c>
      <c r="C53" s="1"/>
      <c r="D53" s="2"/>
      <c r="G53" s="1">
        <v>46</v>
      </c>
      <c r="H53" s="1" t="s">
        <v>7</v>
      </c>
      <c r="I53" s="1"/>
      <c r="J53" s="2"/>
      <c r="M53" s="1">
        <v>46</v>
      </c>
      <c r="N53" s="1" t="s">
        <v>5</v>
      </c>
      <c r="O53" s="1"/>
      <c r="P53" s="3"/>
    </row>
    <row r="54" spans="1:16" ht="14.4" customHeight="1" x14ac:dyDescent="0.3">
      <c r="A54" s="1">
        <v>47</v>
      </c>
      <c r="B54" s="1" t="s">
        <v>5</v>
      </c>
      <c r="C54" s="1"/>
      <c r="D54" s="2"/>
      <c r="G54" s="1">
        <v>47</v>
      </c>
      <c r="H54" s="1" t="s">
        <v>7</v>
      </c>
      <c r="I54" s="1"/>
      <c r="J54" s="2"/>
      <c r="M54" s="1">
        <v>47</v>
      </c>
      <c r="N54" s="1" t="s">
        <v>5</v>
      </c>
      <c r="O54" s="1"/>
      <c r="P54" s="3"/>
    </row>
    <row r="55" spans="1:16" ht="14.4" customHeight="1" x14ac:dyDescent="0.3">
      <c r="A55" s="1">
        <v>48</v>
      </c>
      <c r="B55" s="1" t="s">
        <v>5</v>
      </c>
      <c r="C55" s="1"/>
      <c r="D55" s="2"/>
      <c r="G55" s="1">
        <v>48</v>
      </c>
      <c r="H55" s="1" t="s">
        <v>7</v>
      </c>
      <c r="I55" s="1"/>
      <c r="J55" s="2"/>
      <c r="M55" s="1">
        <v>48</v>
      </c>
      <c r="N55" s="1" t="s">
        <v>5</v>
      </c>
      <c r="O55" s="1"/>
      <c r="P55" s="3"/>
    </row>
    <row r="56" spans="1:16" ht="14.4" customHeight="1" x14ac:dyDescent="0.3">
      <c r="A56" s="1">
        <v>49</v>
      </c>
      <c r="B56" s="1" t="s">
        <v>5</v>
      </c>
      <c r="C56" s="1"/>
      <c r="D56" s="2"/>
      <c r="G56" s="1">
        <v>49</v>
      </c>
      <c r="H56" s="1" t="s">
        <v>7</v>
      </c>
      <c r="I56" s="1"/>
      <c r="J56" s="2"/>
      <c r="M56" s="1">
        <v>49</v>
      </c>
      <c r="N56" s="1" t="s">
        <v>5</v>
      </c>
      <c r="O56" s="1"/>
      <c r="P56" s="3"/>
    </row>
    <row r="57" spans="1:16" ht="14.4" customHeight="1" x14ac:dyDescent="0.3">
      <c r="A57" s="1">
        <v>50</v>
      </c>
      <c r="B57" s="1" t="s">
        <v>5</v>
      </c>
      <c r="C57" s="1"/>
      <c r="D57" s="2"/>
      <c r="G57" s="1">
        <v>50</v>
      </c>
      <c r="H57" s="1" t="s">
        <v>7</v>
      </c>
      <c r="I57" s="1"/>
      <c r="J57" s="2"/>
      <c r="M57" s="1">
        <v>50</v>
      </c>
      <c r="N57" s="1" t="s">
        <v>5</v>
      </c>
      <c r="O57" s="1"/>
      <c r="P57" s="3"/>
    </row>
    <row r="58" spans="1:16" ht="14.4" customHeight="1" x14ac:dyDescent="0.3">
      <c r="A58" s="1">
        <v>51</v>
      </c>
      <c r="B58" s="1" t="s">
        <v>5</v>
      </c>
      <c r="C58" s="1"/>
      <c r="D58" s="2"/>
      <c r="G58" s="1">
        <v>51</v>
      </c>
      <c r="H58" s="1" t="s">
        <v>7</v>
      </c>
      <c r="I58" s="1"/>
      <c r="J58" s="2"/>
      <c r="M58" s="1">
        <v>51</v>
      </c>
      <c r="N58" s="1" t="s">
        <v>5</v>
      </c>
      <c r="O58" s="1"/>
      <c r="P58" s="3"/>
    </row>
    <row r="59" spans="1:16" ht="14.4" customHeight="1" x14ac:dyDescent="0.3">
      <c r="A59" s="1">
        <v>52</v>
      </c>
      <c r="B59" s="1" t="s">
        <v>5</v>
      </c>
      <c r="C59" s="1"/>
      <c r="D59" s="2"/>
      <c r="G59" s="1">
        <v>52</v>
      </c>
      <c r="H59" s="1" t="s">
        <v>7</v>
      </c>
      <c r="I59" s="1"/>
      <c r="J59" s="2"/>
      <c r="M59" s="1">
        <v>52</v>
      </c>
      <c r="N59" s="1" t="s">
        <v>5</v>
      </c>
      <c r="O59" s="1"/>
      <c r="P59" s="3"/>
    </row>
    <row r="60" spans="1:16" ht="14.4" customHeight="1" x14ac:dyDescent="0.3">
      <c r="A60" s="1">
        <v>53</v>
      </c>
      <c r="B60" s="1" t="s">
        <v>5</v>
      </c>
      <c r="C60" s="1"/>
      <c r="D60" s="2"/>
      <c r="G60" s="1">
        <v>53</v>
      </c>
      <c r="H60" s="1" t="s">
        <v>7</v>
      </c>
      <c r="I60" s="1"/>
      <c r="J60" s="2"/>
      <c r="M60" s="1">
        <v>53</v>
      </c>
      <c r="N60" s="1" t="s">
        <v>5</v>
      </c>
      <c r="O60" s="1"/>
      <c r="P60" s="3"/>
    </row>
    <row r="61" spans="1:16" ht="14.4" customHeight="1" x14ac:dyDescent="0.3">
      <c r="A61" s="1">
        <v>54</v>
      </c>
      <c r="B61" s="1" t="s">
        <v>5</v>
      </c>
      <c r="C61" s="1"/>
      <c r="D61" s="2"/>
      <c r="G61" s="1">
        <v>54</v>
      </c>
      <c r="H61" s="1" t="s">
        <v>7</v>
      </c>
      <c r="I61" s="1"/>
      <c r="J61" s="2"/>
      <c r="M61" s="1">
        <v>54</v>
      </c>
      <c r="N61" s="1" t="s">
        <v>5</v>
      </c>
      <c r="O61" s="1"/>
      <c r="P61" s="3"/>
    </row>
    <row r="62" spans="1:16" ht="14.4" customHeight="1" x14ac:dyDescent="0.3">
      <c r="A62" s="1">
        <v>55</v>
      </c>
      <c r="B62" s="1" t="s">
        <v>5</v>
      </c>
      <c r="C62" s="1"/>
      <c r="D62" s="2"/>
      <c r="G62" s="1">
        <v>55</v>
      </c>
      <c r="H62" s="1" t="s">
        <v>7</v>
      </c>
      <c r="I62" s="1"/>
      <c r="J62" s="2"/>
      <c r="M62" s="1">
        <v>55</v>
      </c>
      <c r="N62" s="1" t="s">
        <v>5</v>
      </c>
      <c r="O62" s="1"/>
      <c r="P62" s="3"/>
    </row>
    <row r="63" spans="1:16" ht="14.4" customHeight="1" x14ac:dyDescent="0.3">
      <c r="A63" s="1">
        <v>56</v>
      </c>
      <c r="B63" s="1" t="s">
        <v>5</v>
      </c>
      <c r="C63" s="1"/>
      <c r="D63" s="2"/>
      <c r="G63" s="1">
        <v>56</v>
      </c>
      <c r="H63" s="1" t="s">
        <v>7</v>
      </c>
      <c r="I63" s="1"/>
      <c r="J63" s="2"/>
      <c r="M63" s="1">
        <v>56</v>
      </c>
      <c r="N63" s="1" t="s">
        <v>5</v>
      </c>
      <c r="O63" s="1"/>
      <c r="P63" s="3"/>
    </row>
    <row r="64" spans="1:16" ht="14.4" customHeight="1" x14ac:dyDescent="0.3">
      <c r="A64" s="1">
        <v>57</v>
      </c>
      <c r="B64" s="1" t="s">
        <v>5</v>
      </c>
      <c r="C64" s="1"/>
      <c r="D64" s="2"/>
      <c r="G64" s="1">
        <v>57</v>
      </c>
      <c r="H64" s="1" t="s">
        <v>7</v>
      </c>
      <c r="I64" s="1"/>
      <c r="J64" s="2"/>
      <c r="M64" s="1">
        <v>57</v>
      </c>
      <c r="N64" s="1" t="s">
        <v>5</v>
      </c>
      <c r="O64" s="1"/>
      <c r="P64" s="3"/>
    </row>
    <row r="65" spans="1:17" ht="14.4" customHeight="1" x14ac:dyDescent="0.3">
      <c r="A65" s="1">
        <v>58</v>
      </c>
      <c r="B65" s="1" t="s">
        <v>5</v>
      </c>
      <c r="C65" s="1"/>
      <c r="D65" s="2"/>
      <c r="G65" s="1">
        <v>58</v>
      </c>
      <c r="H65" s="1" t="s">
        <v>7</v>
      </c>
      <c r="I65" s="1"/>
      <c r="J65" s="2"/>
      <c r="M65" s="1">
        <v>58</v>
      </c>
      <c r="N65" s="1" t="s">
        <v>5</v>
      </c>
      <c r="O65" s="1"/>
      <c r="P65" s="3"/>
    </row>
    <row r="66" spans="1:17" ht="14.4" customHeight="1" x14ac:dyDescent="0.3">
      <c r="A66" s="1">
        <v>59</v>
      </c>
      <c r="B66" s="1" t="s">
        <v>5</v>
      </c>
      <c r="C66" s="1"/>
      <c r="D66" s="2"/>
      <c r="G66" s="1">
        <v>59</v>
      </c>
      <c r="H66" s="1" t="s">
        <v>7</v>
      </c>
      <c r="I66" s="1"/>
      <c r="J66" s="2"/>
      <c r="M66" s="1">
        <v>59</v>
      </c>
      <c r="N66" s="1" t="s">
        <v>5</v>
      </c>
      <c r="O66" s="1"/>
      <c r="P66" s="3"/>
    </row>
    <row r="67" spans="1:17" ht="14.4" customHeight="1" x14ac:dyDescent="0.3">
      <c r="A67" s="1">
        <v>60</v>
      </c>
      <c r="B67" s="1" t="s">
        <v>5</v>
      </c>
      <c r="C67" s="1"/>
      <c r="D67" s="2"/>
      <c r="G67" s="1">
        <v>60</v>
      </c>
      <c r="H67" s="1" t="s">
        <v>7</v>
      </c>
      <c r="I67" s="1"/>
      <c r="J67" s="2"/>
      <c r="M67" s="1">
        <v>60</v>
      </c>
      <c r="N67" s="1" t="s">
        <v>5</v>
      </c>
      <c r="O67" s="1"/>
      <c r="P67" s="3"/>
    </row>
    <row r="70" spans="1:17" ht="14.4" customHeight="1" x14ac:dyDescent="0.3">
      <c r="A70" s="26" t="s">
        <v>10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8"/>
    </row>
    <row r="71" spans="1:17" ht="14.4" customHeight="1" x14ac:dyDescent="0.3">
      <c r="A71" s="29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1"/>
    </row>
    <row r="73" spans="1:17" ht="14.4" customHeight="1" x14ac:dyDescent="0.3">
      <c r="B73" s="32" t="s">
        <v>11</v>
      </c>
      <c r="C73" s="33"/>
      <c r="H73" s="32" t="s">
        <v>14</v>
      </c>
      <c r="I73" s="33"/>
      <c r="K73" t="s">
        <v>19</v>
      </c>
      <c r="N73" s="32" t="s">
        <v>23</v>
      </c>
      <c r="O73" s="33"/>
      <c r="Q73" s="6" t="s">
        <v>24</v>
      </c>
    </row>
    <row r="74" spans="1:17" ht="14.4" customHeight="1" x14ac:dyDescent="0.3">
      <c r="B74" s="5" t="s">
        <v>12</v>
      </c>
      <c r="C74" s="7"/>
      <c r="H74" s="5" t="s">
        <v>15</v>
      </c>
      <c r="I74" s="7">
        <f>SUMIFS($D$8:$D$67, $C$8:$C$67, "&gt;=01/01/2025", $C$8:$C$67, "&lt;=07/01/2025") + SUMIFS($J$8:$J$67, $I$8:$I$67, "&gt;=01/01/2025", $I$8:$I$67, "&lt;=07/01/2025") + SUMIFS($P$8:$P$67, $O$8:$O$67, "&gt;=01/01/2025", $O$8:$O$67, "&lt;=07/01/2025")</f>
        <v>0</v>
      </c>
      <c r="K74" t="s">
        <v>20</v>
      </c>
      <c r="N74" s="5" t="s">
        <v>12</v>
      </c>
      <c r="O74" s="8">
        <f ca="1" xml:space="preserve"> C78 / (DAY(EOMONTH(TODAY(),0)) - DAY(TODAY()) + 1)</f>
        <v>0</v>
      </c>
      <c r="Q74" s="5">
        <f ca="1">DAY(EOMONTH(TODAY(),0)) - DAY(TODAY()) + 1</f>
        <v>1</v>
      </c>
    </row>
    <row r="75" spans="1:17" ht="14.4" customHeight="1" x14ac:dyDescent="0.3">
      <c r="B75" s="5" t="s">
        <v>8</v>
      </c>
      <c r="C75" s="7"/>
      <c r="H75" s="5" t="s">
        <v>16</v>
      </c>
      <c r="I75" s="7">
        <f>SUMIFS($D$8:$D$67, $C$8:$C$67, "&gt;=08/01/2025", $C$8:$C$67, "&lt;=14/01/2025") + SUMIFS($J$8:$J$67, $I$8:$I$67, "&gt;=08/01/2025", $I$8:$I$67, "&lt;=14/01/2025") + SUMIFS($P$8:$P$67, $O$8:$O$67, "&gt;=08/01/2025", $O$8:$O$67, "&lt;=14/01/2025")</f>
        <v>0</v>
      </c>
      <c r="K75" t="s">
        <v>21</v>
      </c>
      <c r="N75" s="5" t="s">
        <v>8</v>
      </c>
      <c r="O75" s="8">
        <f ca="1" xml:space="preserve"> C79 / (DAY(EOMONTH(TODAY(),0)) - DAY(TODAY()) + 1)</f>
        <v>0</v>
      </c>
    </row>
    <row r="76" spans="1:17" ht="14.4" customHeight="1" x14ac:dyDescent="0.3">
      <c r="H76" s="5" t="s">
        <v>17</v>
      </c>
      <c r="I76" s="7">
        <f>SUMIFS($D$8:$D$67, $C$8:$C$67, "&gt;=15/01/2025", $C$8:$C$67, "&lt;=21/01/2025") + SUMIFS($J$8:$J$67, $I$8:$I$67, "&gt;=15/01/2025", $I$8:$I$67, "&lt;=21/01/2025") + SUMIFS($P$8:$P$67, $O$8:$O$67, "&gt;=15/01/2025", $O$8:$O$67, "&lt;=21/01/2025")</f>
        <v>0</v>
      </c>
    </row>
    <row r="77" spans="1:17" ht="14.4" customHeight="1" x14ac:dyDescent="0.3">
      <c r="B77" s="32" t="s">
        <v>13</v>
      </c>
      <c r="C77" s="33"/>
      <c r="H77" s="5" t="s">
        <v>18</v>
      </c>
      <c r="I77" s="7">
        <f>SUMIFS($D$8:$D$67, $C$8:$C$67, "&gt;=22/01/2025", $C$8:$C$67, "&lt;=28/01/2025") + SUMIFS($J$8:$J$67, $I$8:$I$67, "&gt;=22/01/2025", $I$8:$I$67, "&lt;=28/01/2025") + SUMIFS($P$8:$P$67, $O$8:$O$67, "&gt;=22/01/2025", $O$8:$O$67, "&lt;=28/01/2025")</f>
        <v>0</v>
      </c>
    </row>
    <row r="78" spans="1:17" ht="14.4" customHeight="1" x14ac:dyDescent="0.3">
      <c r="B78" s="5" t="s">
        <v>12</v>
      </c>
      <c r="C78" s="4">
        <f>C74-(SUM(E8,K8))</f>
        <v>0</v>
      </c>
      <c r="H78" s="5" t="s">
        <v>22</v>
      </c>
      <c r="I78" s="7">
        <f>SUMIFS($D$8:$D$67, $C$8:$C$67, "&gt;=29/01/2025", $C$8:$C$67, "&lt;=31/01/2025") + SUMIFS($J$8:$J$67, $I$8:$I$67, "&gt;=29/01/2025", $I$8:$I$67, "&lt;=31/01/2025") + SUMIFS($P$8:$P$67, $O$8:$O$67, "&gt;=29/01/2025", $O$8:$O$67, "&lt;=31/01/2025")</f>
        <v>0</v>
      </c>
    </row>
    <row r="79" spans="1:17" ht="14.4" customHeight="1" x14ac:dyDescent="0.3">
      <c r="B79" s="5" t="s">
        <v>8</v>
      </c>
      <c r="C79" s="4">
        <f>C75-Q8</f>
        <v>0</v>
      </c>
    </row>
    <row r="84" spans="2:14" ht="14.4" customHeight="1" x14ac:dyDescent="0.3">
      <c r="B84" s="9">
        <f>E8</f>
        <v>0</v>
      </c>
    </row>
    <row r="85" spans="2:14" ht="14.4" customHeight="1" x14ac:dyDescent="0.3">
      <c r="B85" s="9">
        <f>K8</f>
        <v>0</v>
      </c>
    </row>
    <row r="86" spans="2:14" ht="14.4" customHeight="1" x14ac:dyDescent="0.3">
      <c r="B86" s="9">
        <f>C78</f>
        <v>0</v>
      </c>
    </row>
    <row r="90" spans="2:14" ht="14.4" customHeight="1" x14ac:dyDescent="0.3">
      <c r="N90" s="9">
        <f>Q8</f>
        <v>0</v>
      </c>
    </row>
    <row r="91" spans="2:14" ht="14.4" customHeight="1" x14ac:dyDescent="0.3">
      <c r="N91" s="9">
        <f>C79</f>
        <v>0</v>
      </c>
    </row>
  </sheetData>
  <mergeCells count="9">
    <mergeCell ref="B73:C73"/>
    <mergeCell ref="B77:C77"/>
    <mergeCell ref="H73:I73"/>
    <mergeCell ref="N73:O73"/>
    <mergeCell ref="A1:Q3"/>
    <mergeCell ref="A5:E6"/>
    <mergeCell ref="G5:K6"/>
    <mergeCell ref="M5:Q6"/>
    <mergeCell ref="A70:Q71"/>
  </mergeCells>
  <conditionalFormatting sqref="B8:B67">
    <cfRule type="cellIs" dxfId="20" priority="36" operator="equal">
      <formula>"Makan Siang &amp; Malam"</formula>
    </cfRule>
    <cfRule type="cellIs" dxfId="19" priority="37" operator="equal">
      <formula>"Makan Malam"</formula>
    </cfRule>
    <cfRule type="cellIs" dxfId="18" priority="38" operator="equal">
      <formula>"Makan Siang"</formula>
    </cfRule>
    <cfRule type="cellIs" dxfId="17" priority="39" operator="equal">
      <formula>"Sarapan"</formula>
    </cfRule>
  </conditionalFormatting>
  <conditionalFormatting sqref="H8:H67">
    <cfRule type="cellIs" dxfId="16" priority="28" operator="equal">
      <formula>"Tokopedia"</formula>
    </cfRule>
    <cfRule type="cellIs" dxfId="15" priority="29" operator="equal">
      <formula>"Bluebird"</formula>
    </cfRule>
    <cfRule type="cellIs" dxfId="14" priority="30" operator="equal">
      <formula>"Gojek"</formula>
    </cfRule>
    <cfRule type="cellIs" dxfId="13" priority="31" operator="equal">
      <formula>"Telkomsel"</formula>
    </cfRule>
    <cfRule type="cellIs" dxfId="12" priority="32" operator="equal">
      <formula>"Laundry"</formula>
    </cfRule>
    <cfRule type="cellIs" dxfId="11" priority="33" operator="equal">
      <formula>"Superindo"</formula>
    </cfRule>
    <cfRule type="cellIs" dxfId="10" priority="34" operator="equal">
      <formula>"Indomaret"</formula>
    </cfRule>
    <cfRule type="cellIs" dxfId="9" priority="35" operator="equal">
      <formula>"Alfamart"</formula>
    </cfRule>
  </conditionalFormatting>
  <conditionalFormatting sqref="N8:N67">
    <cfRule type="cellIs" dxfId="8" priority="1" operator="equal">
      <formula>"Makan Siang &amp; Malam"</formula>
    </cfRule>
    <cfRule type="cellIs" dxfId="7" priority="2" operator="equal">
      <formula>"Makan Malam"</formula>
    </cfRule>
    <cfRule type="cellIs" dxfId="6" priority="3" operator="equal">
      <formula>"Makan Siang"</formula>
    </cfRule>
    <cfRule type="cellIs" dxfId="5" priority="4" operator="equal">
      <formula>"Sarapan"</formula>
    </cfRule>
  </conditionalFormatting>
  <conditionalFormatting sqref="Q74">
    <cfRule type="cellIs" dxfId="4" priority="16" operator="lessThan">
      <formula>7</formula>
    </cfRule>
    <cfRule type="cellIs" dxfId="3" priority="17" operator="between">
      <formula>14</formula>
      <formula>6</formula>
    </cfRule>
    <cfRule type="cellIs" dxfId="2" priority="18" operator="between">
      <formula>20</formula>
      <formula>13</formula>
    </cfRule>
    <cfRule type="cellIs" dxfId="1" priority="19" operator="between">
      <formula>28</formula>
      <formula>20</formula>
    </cfRule>
    <cfRule type="cellIs" dxfId="0" priority="20" operator="greaterThan">
      <formula>28</formula>
    </cfRule>
  </conditionalFormatting>
  <dataValidations count="2">
    <dataValidation type="list" allowBlank="1" showInputMessage="1" showErrorMessage="1" sqref="H8:H67" xr:uid="{112EC1AD-68D4-44CD-A421-F51814A2FE20}">
      <formula1>"Alfamart, Indomaret, Superindo, Laundry, Telkomsel, Gojek, Bluebird, Tokopedia, …,"</formula1>
    </dataValidation>
    <dataValidation type="list" showInputMessage="1" showErrorMessage="1" sqref="B8:B67 N8:N67" xr:uid="{7E3E4E0B-668A-4376-9E33-2F0FCE2425FD}">
      <formula1>"Sarapan, Makan Siang, Makan Malam, Makan Siang &amp; Malam, ….,"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14s</cp:lastModifiedBy>
  <dcterms:created xsi:type="dcterms:W3CDTF">2015-06-05T18:17:20Z</dcterms:created>
  <dcterms:modified xsi:type="dcterms:W3CDTF">2025-07-31T06:43:50Z</dcterms:modified>
</cp:coreProperties>
</file>